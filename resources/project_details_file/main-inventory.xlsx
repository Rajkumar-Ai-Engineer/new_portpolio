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Projects" sheetId="2" r:id="rId6"/>
    <sheet state="visible" name="Summary" sheetId="3" r:id="rId7"/>
  </sheets>
  <definedNames>
    <definedName hidden="1" localSheetId="1" name="_xlnm._FilterDatabase">Projects!$A$4:$T$305</definedName>
  </definedNames>
  <calcPr/>
</workbook>
</file>

<file path=xl/sharedStrings.xml><?xml version="1.0" encoding="utf-8"?>
<sst xmlns="http://schemas.openxmlformats.org/spreadsheetml/2006/main" count="506" uniqueCount="257">
  <si>
    <t>How to use this inventory</t>
  </si>
  <si>
    <t>1</t>
  </si>
  <si>
    <t>Work through sources in this order: GitHub, Kaggle, Colab, LinkedIn, laptop, pendrives, mobile.</t>
  </si>
  <si>
    <t>2</t>
  </si>
  <si>
    <t>Add one row per project on the Projects sheet. Type in the blue cells; use the dropdowns where offered.</t>
  </si>
  <si>
    <t>3</t>
  </si>
  <si>
    <t>Tier: Featured = full case study (aim for 8 to 10). Standard = short card with summary and links. Archive = searchable list only.</t>
  </si>
  <si>
    <t>4</t>
  </si>
  <si>
    <t>Set Demo?, Docs? and Screenshot? honestly. Featured projects should have all three, so use these to see what is still missing.</t>
  </si>
  <si>
    <t>5</t>
  </si>
  <si>
    <t>Check the Summary sheet to see counts by technology, source and tier, and how many Featured slots are left.</t>
  </si>
  <si>
    <t>5b</t>
  </si>
  <si>
    <t>Score each project 1 to 5 on the five yellow columns. The weighted score, rank and Featured candidate flag fill in automatically. Change weights on the Summary sheet.</t>
  </si>
  <si>
    <t>5c</t>
  </si>
  <si>
    <t>Rule: keep at most 2 Featured projects per technology. This check is manual, so filter by Technology to review.</t>
  </si>
  <si>
    <t>6</t>
  </si>
  <si>
    <t>Row 5 on Projects is only an example. Overwrite or delete it. It is not counted in the Summary.</t>
  </si>
  <si>
    <t>Note</t>
  </si>
  <si>
    <t>The ID column fills itself once a title is entered. Do not type in it.</t>
  </si>
  <si>
    <t>Project inventory</t>
  </si>
  <si>
    <t>Fill the yellow-header columns for every project. Row 5 is an example: overwrite or delete it. Rows 6 to 305 feed the Summary sheet.</t>
  </si>
  <si>
    <t>ID</t>
  </si>
  <si>
    <t>Project title</t>
  </si>
  <si>
    <t>Year</t>
  </si>
  <si>
    <t>Source</t>
  </si>
  <si>
    <t>Technology</t>
  </si>
  <si>
    <t>Status</t>
  </si>
  <si>
    <t>Tier</t>
  </si>
  <si>
    <t>Link</t>
  </si>
  <si>
    <t>Demo?</t>
  </si>
  <si>
    <t>Docs?</t>
  </si>
  <si>
    <t>Screenshot?</t>
  </si>
  <si>
    <t>One-line note</t>
  </si>
  <si>
    <t>Complexity (1-5)</t>
  </si>
  <si>
    <t>Demo-ability (1-5)</t>
  </si>
  <si>
    <t>Relevance (1-5)</t>
  </si>
  <si>
    <t>Recency (1-5)</t>
  </si>
  <si>
    <t>Docs ready (1-5)</t>
  </si>
  <si>
    <t>Weighted score</t>
  </si>
  <si>
    <t>Rank</t>
  </si>
  <si>
    <t>Suggestion</t>
  </si>
  <si>
    <t>P001</t>
  </si>
  <si>
    <t>Prescription verification agent</t>
  </si>
  <si>
    <t>GitHub</t>
  </si>
  <si>
    <t>Agentic AI</t>
  </si>
  <si>
    <t>Done</t>
  </si>
  <si>
    <t>Featured</t>
  </si>
  <si>
    <t>https://github.com/Rajkumar-Ai-Engineer/PrescriptionAgent</t>
  </si>
  <si>
    <t>No</t>
  </si>
  <si>
    <t>Yes</t>
  </si>
  <si>
    <t>Extracts and verifies prescriptions with human review</t>
  </si>
  <si>
    <t>P002</t>
  </si>
  <si>
    <t>Deep_agents_practice</t>
  </si>
  <si>
    <t>Archive</t>
  </si>
  <si>
    <t>https://github.com/Rajkumar-Ai-Engineer/deep_agents_practice</t>
  </si>
  <si>
    <t>practice notebooks of all concept of deepagents</t>
  </si>
  <si>
    <t>P003</t>
  </si>
  <si>
    <t>E_mail_assistant_(deep_agents)</t>
  </si>
  <si>
    <t>Standard</t>
  </si>
  <si>
    <t>https://github.com/Rajkumar-Ai-Engineer/email_assistant_updated</t>
  </si>
  <si>
    <t>DeepAgents based Email assiatnt with many subagents</t>
  </si>
  <si>
    <t>P004</t>
  </si>
  <si>
    <t>Sirax</t>
  </si>
  <si>
    <t>Gen AI</t>
  </si>
  <si>
    <t>https://github.com/Rajkumar-Ai-Engineer/Sirex</t>
  </si>
  <si>
    <t>Medical assistant chatbot</t>
  </si>
  <si>
    <t>P005</t>
  </si>
  <si>
    <t>BasicRagApplication</t>
  </si>
  <si>
    <t>https://github.com/Rajkumar-Ai-Engineer/BasicRagApplication</t>
  </si>
  <si>
    <t>BasicRag application</t>
  </si>
  <si>
    <t>P006</t>
  </si>
  <si>
    <t>PokemonDataAnalysis</t>
  </si>
  <si>
    <t>Data Analytics</t>
  </si>
  <si>
    <t>https://github.com/Rajkumar-Ai-Engineer/data_analytics/tree/main/POKEMON%20ANALYSIS</t>
  </si>
  <si>
    <t xml:space="preserve">It consists notebooks where i performed data analysis using python </t>
  </si>
  <si>
    <t>P007</t>
  </si>
  <si>
    <t>FaceAttendanceSystem</t>
  </si>
  <si>
    <t>Computer Vision</t>
  </si>
  <si>
    <t>https://github.com/Rajkumar-Ai-Engineer/FaceAttendanceSystem</t>
  </si>
  <si>
    <t>Face Recognition Attendance System
An automated, real-time face recognition attendance management system built with Python and OpenCV. The application detects and recognizes faces using computer vision to mark attendance with accurate timestamps, eliminating manual entry and proxy attendance.</t>
  </si>
  <si>
    <t>P008</t>
  </si>
  <si>
    <t>Animal-Img-Classification</t>
  </si>
  <si>
    <t>DL</t>
  </si>
  <si>
    <t>https://github.com/Rajkumar-Ai-Engineer/Animal_img_classification/</t>
  </si>
  <si>
    <t xml:space="preserve">An end-to-end Computer Vision pipeline to download, preprocess, train, and test deep learning models for multi-class animal image classification.
</t>
  </si>
  <si>
    <t>P009</t>
  </si>
  <si>
    <t>Player-face-recognition</t>
  </si>
  <si>
    <t>https://github.com/Rajkumar-Ai-Engineer/player_face_recognition</t>
  </si>
  <si>
    <t>An automated computer vision and deep learning pipeline designed to detect, encode, and identify sports players from video footage and images.</t>
  </si>
  <si>
    <t>P010</t>
  </si>
  <si>
    <t>Multi-Agent Streamlit App</t>
  </si>
  <si>
    <t>https://github.com/Rajkumar-Ai-Engineer/Agents</t>
  </si>
  <si>
    <t xml:space="preserve"> explains how to set up and run the Streamlit app with three agents (Swallow, React, and Deep Agent) with memory and MCP integration.</t>
  </si>
  <si>
    <t>P011</t>
  </si>
  <si>
    <t>AgenticRag</t>
  </si>
  <si>
    <t>https://github.com/Rajkumar-Ai-Engineer/AgenticRag</t>
  </si>
  <si>
    <t xml:space="preserve">An intelligent document retrieval and question-answering system that uses agentic workflows to decide when to retrieve documents and when to generate answers directly.
</t>
  </si>
  <si>
    <t>P012</t>
  </si>
  <si>
    <t>VectorlessRag</t>
  </si>
  <si>
    <t>https://github.com/Rajkumar-Ai-Engineer/vectorless_rag</t>
  </si>
  <si>
    <t>A RAG system that answers questions from documents without any vector embeddings or similarity search — instead it uses a LLM-navigated document tree built by PageIndex to find relevant sections.</t>
  </si>
  <si>
    <t>P013</t>
  </si>
  <si>
    <t>End-to-End RAG</t>
  </si>
  <si>
    <t>https://github.com/Rajkumar-Ai-Engineer/End_to_End_Rag</t>
  </si>
  <si>
    <t>A production-ready Retrieval-Augmented Generation (RAG) application that lets you upload PDF documents and chat with them through a clean web UI — no JavaScript, fully server-rendered.</t>
  </si>
  <si>
    <t>P014</t>
  </si>
  <si>
    <t xml:space="preserve">fake_news_detection_v1
</t>
  </si>
  <si>
    <t xml:space="preserve">TruthGuard is an end-to-end multimodal fake news and misinformation detection platform. It processes diverse media formats—including video, audio, image, and raw text—using advanced transcription and OCR pipelines combined with Large Language Models via Groq to perform rapid fact verification and source analysis.
</t>
  </si>
  <si>
    <t>P015</t>
  </si>
  <si>
    <t>MCP Agent Orchestration — Gmail + Google Calendar</t>
  </si>
  <si>
    <t>https://github.com/Rajkumar-Ai-Engineer/mcp-agent-orchestration</t>
  </si>
  <si>
    <t>An AI-powered agent that uses Model Context Protocol (MCP) to orchestrate Gmail and Google Calendar tools via a Flask web interface. Powered by Groq's LLaMA 3.3 70B model with LangChain MCP adapters.</t>
  </si>
  <si>
    <t>P016</t>
  </si>
  <si>
    <t>Deepfake Detector — Audio + Video Fusion</t>
  </si>
  <si>
    <t>https://github.com/Rajkumar-Ai-Engineer/deepfake-detector</t>
  </si>
  <si>
    <t xml:space="preserve">A Deep Learning project that detects deepfake videos by fusing both video frame analysis and audio feature extraction into a single merged model. Uses Xception CNN for visual features and LSTM for temporal audio patterns.
</t>
  </si>
  <si>
    <t>P017</t>
  </si>
  <si>
    <t>Tamil Literature Flowers — Full Stack Web App</t>
  </si>
  <si>
    <t>https://github.com/Rajkumar-Ai-Engineer/tamil-literature-flowers</t>
  </si>
  <si>
    <t>A comprehensive full-stack web application showcasing 99 Kuruchi flowers from Tamil Sangam literature, organized by the traditional 5 Tinai (landscapes) with AI-powered information retrieval, user authentication, gamification, a chatbot, and real-time SMS/Telegram notifications.</t>
  </si>
  <si>
    <t>P018</t>
  </si>
  <si>
    <t xml:space="preserve">Tamil Flower Classifier
</t>
  </si>
  <si>
    <t>https://github.com/Rajkumar-Ai-Engineer/tamil-flower-classifier</t>
  </si>
  <si>
    <t>A Deep Learning project that classifies Tamil Sangam literature flowers using EfficientNetV2 and GPT-4o Vision. Built to preserve and digitize Tamil botanical heritage by identifying flowers referenced in ancient Sangam poetry.</t>
  </si>
  <si>
    <t>P019</t>
  </si>
  <si>
    <t xml:space="preserve">Book Recommendation System </t>
  </si>
  <si>
    <t>ML</t>
  </si>
  <si>
    <t>https://github.com/Rajkumar-Ai-Engineer/Book_recommentor_system</t>
  </si>
  <si>
    <t>This is a production-grade book recommendation system that combines content-based and collaborative filtering into a hybrid model to overcome extreme data sparsity and cold-start issues.</t>
  </si>
  <si>
    <t>P020</t>
  </si>
  <si>
    <t>Smart Housing Assistant</t>
  </si>
  <si>
    <t>https://github.com/Rajkumar-Ai-Engineer/smart_housing_assistant</t>
  </si>
  <si>
    <t>An AI-powered housing assistant that helps users evaluate real estate locations and estimate house construction costs using intelligent agents powered by Groq LLM and DuckDuckGo search.</t>
  </si>
  <si>
    <t>P021</t>
  </si>
  <si>
    <t xml:space="preserve">Holiday Trip Planner
</t>
  </si>
  <si>
    <t>https://github.com/Rajkumar-Ai-Engineer/HolidayPlanner</t>
  </si>
  <si>
    <t>AI-powered holiday trip planning application using multi-agent system with FastAPI backend.</t>
  </si>
  <si>
    <t>P022</t>
  </si>
  <si>
    <t>URLSummarizer</t>
  </si>
  <si>
    <t>https://github.com/Rajkumar-Ai-Engineer/URLSummarizer</t>
  </si>
  <si>
    <t xml:space="preserve">An AI-powered web tool built in Python that takes any webpage or article URL, extracts its main content, and produces concise, structured summaries using Large Language Models (LLMs).
</t>
  </si>
  <si>
    <t>P023</t>
  </si>
  <si>
    <t>Heltech</t>
  </si>
  <si>
    <t>AI</t>
  </si>
  <si>
    <t>https://github.com/Rajkumar-Ai-Engineer/HelTech</t>
  </si>
  <si>
    <t xml:space="preserve">A full-stack healthcare / technology platform featuring a dedicated backend API, modern interactive frontend, containerized deployment setup, and automated CI/CD workflows.
</t>
  </si>
  <si>
    <t>P024</t>
  </si>
  <si>
    <t>CustomerChurnPrediction</t>
  </si>
  <si>
    <t>https://github.com/Rajkumar-Ai-Engineer/Streamlit_cloud_test</t>
  </si>
  <si>
    <t>Customer churn preddiction end -end -ml</t>
  </si>
  <si>
    <t>P025</t>
  </si>
  <si>
    <t>DVC</t>
  </si>
  <si>
    <t>https://github.com/Rajkumar-Ai-Engineer/DVC</t>
  </si>
  <si>
    <t>A machine learning project setup demonstrating data versioning, pipeline orchestration, and model tracking using Data Version Control along with Git.</t>
  </si>
  <si>
    <t>P026</t>
  </si>
  <si>
    <t>MLFlow</t>
  </si>
  <si>
    <t>https://github.com/Rajkumar-Ai-Engineer/MLFLOW</t>
  </si>
  <si>
    <t>A hands-on implementation of MLflow for machine learning experiment tracking, covering both local tracking workflows and remote artifact and metric logging with DagsHub.</t>
  </si>
  <si>
    <t>P027</t>
  </si>
  <si>
    <t xml:space="preserve">NetworkSecurity prediction
</t>
  </si>
  <si>
    <t>https://github.com/Rajkumar-Ai-Engineer/NetworkSecurity</t>
  </si>
  <si>
    <t>An end-to-end machine learning system designed to detect and classify network security threats and phishing attacks based on network traffic data. The solution includes automated data ingestion, validation, transformation, model training, evaluation, and containerized deployment with CI/CD.</t>
  </si>
  <si>
    <t>P028</t>
  </si>
  <si>
    <t>Mcpdemo</t>
  </si>
  <si>
    <t>https://github.com/Rajkumar-Ai-Engineer/MCP_demo</t>
  </si>
  <si>
    <t>A web application demonstrating agent orchestration using the Model Context Protocol, featuring a Python backend, HTML front-end templates, and containerized deployment support.</t>
  </si>
  <si>
    <t>P029</t>
  </si>
  <si>
    <t>End-to-End-student performance prediction</t>
  </si>
  <si>
    <t>https://github.com/Rajkumar-Ai-Engineer/End_to_End_ML/</t>
  </si>
  <si>
    <t>A production-ready machine learning web application to predict student math scores based on demographic and academic indicators, complete with modular data pipelines, model training, evaluation, and deployment configuration for AWS Elastic Beanstalk.</t>
  </si>
  <si>
    <t>P030</t>
  </si>
  <si>
    <t>FinancialPortpolio</t>
  </si>
  <si>
    <t>https://github.com/Rajkumar-Ai-Engineer/FinancialPortpolio</t>
  </si>
  <si>
    <t>An end-to-end financial data analytics and portfolio optimization pipeline designed to analyze historical asset performance, quantify risk-return profiles, and optimize portfolio asset allocations.</t>
  </si>
  <si>
    <t>P031</t>
  </si>
  <si>
    <t>AegisAI</t>
  </si>
  <si>
    <t>https://github.com/Rajkumar-Ai-Engineer/AegisAI</t>
  </si>
  <si>
    <t>AegisAI is an AI-powered mental health chatbot designed to provide supportive, empathetic conversational guidance and mental wellness assistance. The application combines a responsive web frontend with a dedicated backend chatbot engine.</t>
  </si>
  <si>
    <t>P032</t>
  </si>
  <si>
    <t>devbotapp</t>
  </si>
  <si>
    <t>https://github.com/Rajkumar-Ai-Engineer/devbotapp</t>
  </si>
  <si>
    <t>DevBot App is an autonomous developer assistant built in Python. It integrates LLM-driven agents, execution chains, terminal automation, and custom tooling to assist developers with automated code generation, environment execution, and task orchestration.</t>
  </si>
  <si>
    <t>P033</t>
  </si>
  <si>
    <t>unsupervised learning and clustering analysis</t>
  </si>
  <si>
    <t>https://github.com/Rajkumar-Ai-Engineer/MachineLearning-UnsupervisedLearning-clusters</t>
  </si>
  <si>
    <t>a practical repository demonstrating unsupervised machine learning techniques, dimensionality reduction, and clustering algorithms applied to customer segmentation using the mall customers dataset.</t>
  </si>
  <si>
    <t>P034</t>
  </si>
  <si>
    <t>Resume Intelligence and Parser Pipeline</t>
  </si>
  <si>
    <t>https://github.com/Rajkumar-Ai-Engineer/Resume-Intelligence-and-Parser-Pipeline</t>
  </si>
  <si>
    <t xml:space="preserve">An automated resume evaluation and text extraction pipeline designed to ingest candidate resumes, process structured details, and evaluate profiles using Python scripts and language model integrations.
</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</si>
  <si>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</si>
  <si>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</si>
  <si>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</si>
  <si>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</si>
  <si>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</si>
  <si>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</si>
  <si>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</si>
  <si>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</si>
  <si>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</si>
  <si>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</si>
  <si>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</si>
  <si>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</si>
  <si>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</si>
  <si>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</si>
  <si>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</si>
  <si>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</si>
  <si>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</si>
  <si>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</si>
  <si>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</si>
  <si>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</si>
  <si>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</si>
  <si>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</si>
  <si>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</si>
  <si>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</si>
  <si>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</si>
  <si>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</si>
  <si>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</si>
  <si>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</si>
  <si>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</si>
  <si>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</si>
  <si>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</si>
  <si>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</si>
  <si>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</si>
  <si>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</si>
  <si>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</si>
  <si>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Inventory summary</t>
  </si>
  <si>
    <t>All numbers are formulas that read the Projects sheet (rows 6 to 305). Nothing to edit here.</t>
  </si>
  <si>
    <t>Total projects listed</t>
  </si>
  <si>
    <t>Scoring criterion</t>
  </si>
  <si>
    <t>Weight</t>
  </si>
  <si>
    <t>Goal for Featured tier</t>
  </si>
  <si>
    <t>Assumption: 8 to 10 featured projects (editable)</t>
  </si>
  <si>
    <t>Complexity and depth</t>
  </si>
  <si>
    <t>Featured still needed</t>
  </si>
  <si>
    <t>Demo-ability</t>
  </si>
  <si>
    <t>Relevance to goals</t>
  </si>
  <si>
    <t>By technology</t>
  </si>
  <si>
    <t>Count</t>
  </si>
  <si>
    <t>Recency</t>
  </si>
  <si>
    <t>Docs readiness</t>
  </si>
  <si>
    <t>Total (any scale works)</t>
  </si>
  <si>
    <t>Assumption: weights chosen with the user in the planning chat; editable.</t>
  </si>
  <si>
    <t>NLP</t>
  </si>
  <si>
    <t>Web Development</t>
  </si>
  <si>
    <t>Other</t>
  </si>
  <si>
    <t>Total</t>
  </si>
  <si>
    <t>By source</t>
  </si>
  <si>
    <t>Laptop</t>
  </si>
  <si>
    <t>Colab</t>
  </si>
  <si>
    <t>Pendrive</t>
  </si>
  <si>
    <t>LinkedIn</t>
  </si>
  <si>
    <t>Kaggle</t>
  </si>
  <si>
    <t>Mobile</t>
  </si>
  <si>
    <t>By tier</t>
  </si>
  <si>
    <t>By status</t>
  </si>
  <si>
    <t>In progress</t>
  </si>
  <si>
    <t>Idea</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</si>
</sst>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theme="1"/>
      <name val="Arial"/>
    </font>
    <font>
      <sz val="11.0"/>
      <color theme="1"/>
      <name val="Arial"/>
    </font>
    <font>
      <b/>
      <sz val="11.0"/>
      <color theme="1"/>
      <name val="Arial"/>
    </font>
    <font>
      <b/>
      <sz val="16.0"/>
      <color rgb="FF1B2A5C"/>
      <name val="Arial"/>
    </font>
    <font>
      <i/>
      <sz val="10.0"/>
      <color rgb="FF555555"/>
      <name val="Arial"/>
    </font>
    <font>
      <b/>
      <sz val="11.0"/>
      <color rgb="FFFFFFFF"/>
      <name val="Arial"/>
    </font>
    <font>
      <b/>
      <sz val="11.0"/>
      <color rgb="FF1B2A5C"/>
      <name val="Arial"/>
    </font>
    <font>
      <i/>
      <sz val="11.0"/>
      <color rgb="FF777777"/>
      <name val="Arial"/>
    </font>
    <font>
      <i/>
      <u/>
      <sz val="11.0"/>
      <color rgb="FF0000FF"/>
      <name val="Arial"/>
    </font>
    <font>
      <sz val="11.0"/>
      <color rgb="FF0000FF"/>
      <name val="Arial"/>
    </font>
    <font>
      <u/>
      <sz val="11.0"/>
      <color theme="10"/>
      <name val="Calibri"/>
    </font>
    <font>
      <sz val="11.0"/>
      <color rgb="FF000000"/>
      <name val="Arial"/>
    </font>
    <font>
      <u/>
      <sz val="11.0"/>
      <color rgb="FF0000FF"/>
      <name val="Arial"/>
    </font>
    <font>
      <color theme="1"/>
      <name val="Calibri"/>
      <scheme val="minor"/>
    </font>
    <font>
      <u/>
      <sz val="11.0"/>
      <color rgb="FF0000FF"/>
      <name val="Arial"/>
    </font>
    <font>
      <u/>
      <sz val="11.0"/>
      <color rgb="FF0000FF"/>
      <name val="Arial"/>
    </font>
    <font>
      <i/>
      <sz val="9.0"/>
      <color rgb="FF555555"/>
      <name val="Arial"/>
    </font>
  </fonts>
  <fills count="4">
    <fill>
      <patternFill patternType="none"/>
    </fill>
    <fill>
      <patternFill patternType="lightGray"/>
    </fill>
    <fill>
      <patternFill patternType="solid">
        <fgColor rgb="FF1B2A5C"/>
        <bgColor rgb="FF1B2A5C"/>
      </patternFill>
    </fill>
    <fill>
      <patternFill patternType="solid">
        <fgColor rgb="FFFFE066"/>
        <bgColor rgb="FFFFE066"/>
      </patternFill>
    </fill>
  </fills>
  <borders count="3">
    <border/>
    <border>
      <left style="thin">
        <color rgb="FFBBBBBB"/>
      </left>
      <right style="thin">
        <color rgb="FFBBBBBB"/>
      </right>
      <top style="thin">
        <color rgb="FFBBBBBB"/>
      </top>
      <bottom style="thin">
        <color rgb="FFBBBBBB"/>
      </bottom>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top" wrapText="1"/>
    </xf>
    <xf borderId="0" fillId="0" fontId="3" numFmtId="0" xfId="0" applyFont="1"/>
    <xf borderId="0" fillId="0" fontId="4" numFmtId="0" xfId="0" applyFont="1"/>
    <xf borderId="0" fillId="0" fontId="5" numFmtId="0" xfId="0" applyFont="1"/>
    <xf borderId="1" fillId="2" fontId="6" numFmtId="0" xfId="0" applyAlignment="1" applyBorder="1" applyFill="1" applyFont="1">
      <alignment horizontal="center" shrinkToFit="0" vertical="center" wrapText="1"/>
    </xf>
    <xf borderId="1" fillId="3" fontId="7" numFmtId="0" xfId="0" applyAlignment="1" applyBorder="1" applyFill="1" applyFont="1">
      <alignment horizontal="center" shrinkToFit="0" vertical="center" wrapText="1"/>
    </xf>
    <xf borderId="1" fillId="0" fontId="8" numFmtId="0" xfId="0" applyBorder="1" applyFont="1"/>
    <xf borderId="1" fillId="0" fontId="8" numFmtId="0" xfId="0" applyAlignment="1" applyBorder="1" applyFont="1">
      <alignment readingOrder="0"/>
    </xf>
    <xf borderId="1" fillId="0" fontId="9" numFmtId="0" xfId="0" applyAlignment="1" applyBorder="1" applyFont="1">
      <alignment readingOrder="0"/>
    </xf>
    <xf borderId="1" fillId="0" fontId="8" numFmtId="0" xfId="0" applyAlignment="1" applyBorder="1" applyFont="1">
      <alignment horizontal="center"/>
    </xf>
    <xf borderId="1" fillId="0" fontId="8" numFmtId="2" xfId="0" applyBorder="1" applyFont="1" applyNumberFormat="1"/>
    <xf borderId="1" fillId="0" fontId="10" numFmtId="0" xfId="0" applyBorder="1" applyFont="1"/>
    <xf borderId="1" fillId="0" fontId="11" numFmtId="0" xfId="0" applyBorder="1" applyFont="1"/>
    <xf borderId="1" fillId="0" fontId="10" numFmtId="0" xfId="0" applyAlignment="1" applyBorder="1" applyFont="1">
      <alignment horizontal="center"/>
    </xf>
    <xf borderId="1" fillId="0" fontId="12" numFmtId="2" xfId="0" applyBorder="1" applyFont="1" applyNumberFormat="1"/>
    <xf borderId="1" fillId="0" fontId="12" numFmtId="0" xfId="0" applyBorder="1" applyFont="1"/>
    <xf borderId="1" fillId="0" fontId="10" numFmtId="0" xfId="0" applyAlignment="1" applyBorder="1" applyFont="1">
      <alignment readingOrder="0"/>
    </xf>
    <xf borderId="1" fillId="0" fontId="13" numFmtId="0" xfId="0" applyAlignment="1" applyBorder="1" applyFont="1">
      <alignment readingOrder="0"/>
    </xf>
    <xf borderId="0" fillId="0" fontId="14" numFmtId="0" xfId="0" applyAlignment="1" applyFont="1">
      <alignment readingOrder="0"/>
    </xf>
    <xf borderId="1" fillId="0" fontId="15" numFmtId="0" xfId="0" applyAlignment="1" applyBorder="1" applyFont="1">
      <alignment readingOrder="0"/>
    </xf>
    <xf borderId="1" fillId="0" fontId="16" numFmtId="0" xfId="0" applyBorder="1" applyFont="1"/>
    <xf borderId="2" fillId="2" fontId="6" numFmtId="0" xfId="0" applyBorder="1" applyFill="1" applyFont="1"/>
    <xf borderId="0" fillId="0" fontId="2" numFmtId="0" xfId="0" applyFont="1"/>
    <xf borderId="2" fillId="3" fontId="10" numFmtId="0" xfId="0" applyBorder="1" applyFill="1" applyFont="1"/>
    <xf borderId="0" fillId="0" fontId="1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Rajkumar-Ai-Engineer/HolidayPlanner" TargetMode="External"/><Relationship Id="rId22" Type="http://schemas.openxmlformats.org/officeDocument/2006/relationships/hyperlink" Target="https://github.com/Rajkumar-Ai-Engineer/HelTech" TargetMode="External"/><Relationship Id="rId21" Type="http://schemas.openxmlformats.org/officeDocument/2006/relationships/hyperlink" Target="https://github.com/Rajkumar-Ai-Engineer/URLSummarizer" TargetMode="External"/><Relationship Id="rId24" Type="http://schemas.openxmlformats.org/officeDocument/2006/relationships/hyperlink" Target="https://github.com/Rajkumar-Ai-Engineer/DVC" TargetMode="External"/><Relationship Id="rId23" Type="http://schemas.openxmlformats.org/officeDocument/2006/relationships/hyperlink" Target="https://github.com/Rajkumar-Ai-Engineer/Streamlit_cloud_test" TargetMode="External"/><Relationship Id="rId1" Type="http://schemas.openxmlformats.org/officeDocument/2006/relationships/hyperlink" Target="https://github.com/Rajkumar-Ai-Engineer/PrescriptionAgent" TargetMode="External"/><Relationship Id="rId2" Type="http://schemas.openxmlformats.org/officeDocument/2006/relationships/hyperlink" Target="https://github.com/Rajkumar-Ai-Engineer/deep_agents_practice" TargetMode="External"/><Relationship Id="rId3" Type="http://schemas.openxmlformats.org/officeDocument/2006/relationships/hyperlink" Target="https://github.com/Rajkumar-Ai-Engineer/email_assistant_updated" TargetMode="External"/><Relationship Id="rId4" Type="http://schemas.openxmlformats.org/officeDocument/2006/relationships/hyperlink" Target="https://github.com/Rajkumar-Ai-Engineer/Sirex" TargetMode="External"/><Relationship Id="rId9" Type="http://schemas.openxmlformats.org/officeDocument/2006/relationships/hyperlink" Target="https://github.com/Rajkumar-Ai-Engineer/player_face_recognition" TargetMode="External"/><Relationship Id="rId26" Type="http://schemas.openxmlformats.org/officeDocument/2006/relationships/hyperlink" Target="https://github.com/Rajkumar-Ai-Engineer/NetworkSecurity" TargetMode="External"/><Relationship Id="rId25" Type="http://schemas.openxmlformats.org/officeDocument/2006/relationships/hyperlink" Target="https://github.com/Rajkumar-Ai-Engineer/MLFLOW" TargetMode="External"/><Relationship Id="rId28" Type="http://schemas.openxmlformats.org/officeDocument/2006/relationships/hyperlink" Target="https://github.com/Rajkumar-Ai-Engineer/End_to_End_ML/" TargetMode="External"/><Relationship Id="rId27" Type="http://schemas.openxmlformats.org/officeDocument/2006/relationships/hyperlink" Target="https://github.com/Rajkumar-Ai-Engineer/MCP_demo" TargetMode="External"/><Relationship Id="rId5" Type="http://schemas.openxmlformats.org/officeDocument/2006/relationships/hyperlink" Target="https://github.com/Rajkumar-Ai-Engineer/BasicRagApplication" TargetMode="External"/><Relationship Id="rId6" Type="http://schemas.openxmlformats.org/officeDocument/2006/relationships/hyperlink" Target="https://github.com/Rajkumar-Ai-Engineer/data_analytics/tree/main/POKEMON%20ANALYSIS" TargetMode="External"/><Relationship Id="rId29" Type="http://schemas.openxmlformats.org/officeDocument/2006/relationships/hyperlink" Target="https://github.com/Rajkumar-Ai-Engineer/FinancialPortpolio" TargetMode="External"/><Relationship Id="rId7" Type="http://schemas.openxmlformats.org/officeDocument/2006/relationships/hyperlink" Target="https://github.com/Rajkumar-Ai-Engineer/FaceAttendanceSystem" TargetMode="External"/><Relationship Id="rId8" Type="http://schemas.openxmlformats.org/officeDocument/2006/relationships/hyperlink" Target="https://github.com/Rajkumar-Ai-Engineer/Animal_img_classification/" TargetMode="External"/><Relationship Id="rId31" Type="http://schemas.openxmlformats.org/officeDocument/2006/relationships/hyperlink" Target="https://github.com/Rajkumar-Ai-Engineer/devbotapp" TargetMode="External"/><Relationship Id="rId30" Type="http://schemas.openxmlformats.org/officeDocument/2006/relationships/hyperlink" Target="https://github.com/Rajkumar-Ai-Engineer/AegisAI" TargetMode="External"/><Relationship Id="rId11" Type="http://schemas.openxmlformats.org/officeDocument/2006/relationships/hyperlink" Target="https://github.com/Rajkumar-Ai-Engineer/AgenticRag" TargetMode="External"/><Relationship Id="rId33" Type="http://schemas.openxmlformats.org/officeDocument/2006/relationships/hyperlink" Target="https://github.com/Rajkumar-Ai-Engineer/Resume-Intelligence-and-Parser-Pipeline" TargetMode="External"/><Relationship Id="rId10" Type="http://schemas.openxmlformats.org/officeDocument/2006/relationships/hyperlink" Target="https://github.com/Rajkumar-Ai-Engineer/Agents" TargetMode="External"/><Relationship Id="rId32" Type="http://schemas.openxmlformats.org/officeDocument/2006/relationships/hyperlink" Target="https://github.com/Rajkumar-Ai-Engineer/MachineLearning-UnsupervisedLearning-clusters" TargetMode="External"/><Relationship Id="rId13" Type="http://schemas.openxmlformats.org/officeDocument/2006/relationships/hyperlink" Target="https://github.com/Rajkumar-Ai-Engineer/End_to_End_Rag" TargetMode="External"/><Relationship Id="rId12" Type="http://schemas.openxmlformats.org/officeDocument/2006/relationships/hyperlink" Target="https://github.com/Rajkumar-Ai-Engineer/vectorless_rag" TargetMode="External"/><Relationship Id="rId34" Type="http://schemas.openxmlformats.org/officeDocument/2006/relationships/drawing" Target="../drawings/drawing2.xml"/><Relationship Id="rId15" Type="http://schemas.openxmlformats.org/officeDocument/2006/relationships/hyperlink" Target="https://github.com/Rajkumar-Ai-Engineer/deepfake-detector" TargetMode="External"/><Relationship Id="rId14" Type="http://schemas.openxmlformats.org/officeDocument/2006/relationships/hyperlink" Target="https://github.com/Rajkumar-Ai-Engineer/mcp-agent-orchestration" TargetMode="External"/><Relationship Id="rId17" Type="http://schemas.openxmlformats.org/officeDocument/2006/relationships/hyperlink" Target="https://github.com/Rajkumar-Ai-Engineer/tamil-flower-classifier" TargetMode="External"/><Relationship Id="rId16" Type="http://schemas.openxmlformats.org/officeDocument/2006/relationships/hyperlink" Target="https://github.com/Rajkumar-Ai-Engineer/tamil-literature-flowers" TargetMode="External"/><Relationship Id="rId19" Type="http://schemas.openxmlformats.org/officeDocument/2006/relationships/hyperlink" Target="https://github.com/Rajkumar-Ai-Engineer/smart_housing_assistant" TargetMode="External"/><Relationship Id="rId18" Type="http://schemas.openxmlformats.org/officeDocument/2006/relationships/hyperlink" Target="https://github.com/Rajkumar-Ai-Engineer/Book_recommentor_syste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100.0"/>
    <col customWidth="1" min="3" max="26" width="8.71"/>
  </cols>
  <sheetData>
    <row r="1" ht="14.25" customHeight="1">
      <c r="A1" s="1" t="s">
        <v>0</v>
      </c>
      <c r="B1" s="2"/>
    </row>
    <row r="2" ht="14.25" customHeight="1">
      <c r="A2" s="3" t="s">
        <v>1</v>
      </c>
      <c r="B2" s="2" t="s">
        <v>2</v>
      </c>
    </row>
    <row r="3" ht="14.25" customHeight="1">
      <c r="A3" s="3" t="s">
        <v>3</v>
      </c>
      <c r="B3" s="2" t="s">
        <v>4</v>
      </c>
    </row>
    <row r="4" ht="14.25" customHeight="1">
      <c r="A4" s="3" t="s">
        <v>5</v>
      </c>
      <c r="B4" s="2" t="s">
        <v>6</v>
      </c>
    </row>
    <row r="5" ht="14.25" customHeight="1">
      <c r="A5" s="3" t="s">
        <v>7</v>
      </c>
      <c r="B5" s="2" t="s">
        <v>8</v>
      </c>
    </row>
    <row r="6" ht="14.25" customHeight="1">
      <c r="A6" s="3" t="s">
        <v>9</v>
      </c>
      <c r="B6" s="2" t="s">
        <v>10</v>
      </c>
    </row>
    <row r="7" ht="14.25" customHeight="1">
      <c r="A7" s="3" t="s">
        <v>11</v>
      </c>
      <c r="B7" s="2" t="s">
        <v>12</v>
      </c>
    </row>
    <row r="8" ht="14.25" customHeight="1">
      <c r="A8" s="3" t="s">
        <v>13</v>
      </c>
      <c r="B8" s="2" t="s">
        <v>14</v>
      </c>
    </row>
    <row r="9" ht="14.25" customHeight="1">
      <c r="A9" s="3" t="s">
        <v>15</v>
      </c>
      <c r="B9" s="2" t="s">
        <v>16</v>
      </c>
    </row>
    <row r="10" ht="14.25" customHeight="1">
      <c r="A10" s="3" t="s">
        <v>17</v>
      </c>
      <c r="B10" s="2" t="s">
        <v>18</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7.0"/>
    <col customWidth="1" min="2" max="2" width="34.0"/>
    <col customWidth="1" min="3" max="3" width="8.0"/>
    <col customWidth="1" min="4" max="4" width="13.0"/>
    <col customWidth="1" min="5" max="5" width="18.0"/>
    <col customWidth="1" min="6" max="6" width="13.0"/>
    <col customWidth="1" min="7" max="7" width="12.0"/>
    <col customWidth="1" min="8" max="8" width="38.0"/>
    <col customWidth="1" min="9" max="10" width="9.0"/>
    <col customWidth="1" min="11" max="11" width="13.0"/>
    <col customWidth="1" min="12" max="12" width="48.0"/>
    <col customWidth="1" min="13" max="17" width="13.0"/>
    <col customWidth="1" min="18" max="18" width="12.0"/>
    <col customWidth="1" min="19" max="19" width="8.0"/>
    <col customWidth="1" min="20" max="20" width="20.0"/>
    <col customWidth="1" min="21" max="26" width="8.71"/>
  </cols>
  <sheetData>
    <row r="1" ht="14.25" customHeight="1">
      <c r="A1" s="4" t="s">
        <v>19</v>
      </c>
    </row>
    <row r="2" ht="14.25" customHeight="1">
      <c r="A2" s="5" t="s">
        <v>20</v>
      </c>
    </row>
    <row r="3" ht="14.25" customHeight="1"/>
    <row r="4" ht="33.75" customHeight="1">
      <c r="A4" s="6" t="s">
        <v>21</v>
      </c>
      <c r="B4" s="6" t="s">
        <v>22</v>
      </c>
      <c r="C4" s="6" t="s">
        <v>23</v>
      </c>
      <c r="D4" s="6" t="s">
        <v>24</v>
      </c>
      <c r="E4" s="6" t="s">
        <v>25</v>
      </c>
      <c r="F4" s="6" t="s">
        <v>26</v>
      </c>
      <c r="G4" s="6" t="s">
        <v>27</v>
      </c>
      <c r="H4" s="6" t="s">
        <v>28</v>
      </c>
      <c r="I4" s="6" t="s">
        <v>29</v>
      </c>
      <c r="J4" s="6" t="s">
        <v>30</v>
      </c>
      <c r="K4" s="6" t="s">
        <v>31</v>
      </c>
      <c r="L4" s="6" t="s">
        <v>32</v>
      </c>
      <c r="M4" s="7" t="s">
        <v>33</v>
      </c>
      <c r="N4" s="7" t="s">
        <v>34</v>
      </c>
      <c r="O4" s="7" t="s">
        <v>35</v>
      </c>
      <c r="P4" s="7" t="s">
        <v>36</v>
      </c>
      <c r="Q4" s="7" t="s">
        <v>37</v>
      </c>
      <c r="R4" s="6" t="s">
        <v>38</v>
      </c>
      <c r="S4" s="6" t="s">
        <v>39</v>
      </c>
      <c r="T4" s="6" t="s">
        <v>40</v>
      </c>
    </row>
    <row r="5" ht="14.25" customHeight="1">
      <c r="A5" s="8" t="s">
        <v>41</v>
      </c>
      <c r="B5" s="8" t="s">
        <v>42</v>
      </c>
      <c r="C5" s="8">
        <v>2026.0</v>
      </c>
      <c r="D5" s="8" t="s">
        <v>43</v>
      </c>
      <c r="E5" s="8" t="s">
        <v>44</v>
      </c>
      <c r="F5" s="8" t="s">
        <v>45</v>
      </c>
      <c r="G5" s="9" t="s">
        <v>46</v>
      </c>
      <c r="H5" s="10" t="s">
        <v>47</v>
      </c>
      <c r="I5" s="9" t="s">
        <v>48</v>
      </c>
      <c r="J5" s="8" t="s">
        <v>49</v>
      </c>
      <c r="K5" s="8" t="s">
        <v>49</v>
      </c>
      <c r="L5" s="8" t="s">
        <v>50</v>
      </c>
      <c r="M5" s="11">
        <v>5.0</v>
      </c>
      <c r="N5" s="11">
        <v>4.0</v>
      </c>
      <c r="O5" s="11">
        <v>5.0</v>
      </c>
      <c r="P5" s="11">
        <v>5.0</v>
      </c>
      <c r="Q5" s="11">
        <v>4.0</v>
      </c>
      <c r="R5" s="12">
        <f>IF(COUNT(M5:Q5)&lt;5,"",(M5*Summary!$F$5+N5*Summary!$F$6+O5*Summary!$F$7+P5*Summary!$F$8+Q5*Summary!$F$9)/Summary!$F$10)</f>
        <v>4.6</v>
      </c>
    </row>
    <row r="6" ht="14.25" customHeight="1">
      <c r="A6" s="8" t="s">
        <v>51</v>
      </c>
      <c r="B6" s="13" t="s">
        <v>52</v>
      </c>
      <c r="C6" s="13">
        <v>2026.0</v>
      </c>
      <c r="D6" s="13" t="s">
        <v>43</v>
      </c>
      <c r="E6" s="13" t="s">
        <v>44</v>
      </c>
      <c r="F6" s="13" t="s">
        <v>45</v>
      </c>
      <c r="G6" s="13" t="s">
        <v>53</v>
      </c>
      <c r="H6" s="14" t="s">
        <v>54</v>
      </c>
      <c r="I6" s="13" t="s">
        <v>48</v>
      </c>
      <c r="J6" s="13" t="s">
        <v>49</v>
      </c>
      <c r="K6" s="13" t="s">
        <v>49</v>
      </c>
      <c r="L6" s="13" t="s">
        <v>55</v>
      </c>
      <c r="M6" s="15"/>
      <c r="N6" s="15"/>
      <c r="O6" s="15"/>
      <c r="P6" s="15"/>
      <c r="Q6" s="15"/>
      <c r="R6" s="16" t="str">
        <f>IF(COUNT(M6:Q6)&lt;5,"",(M6*Summary!$F$5+N6*Summary!$F$6+O6*Summary!$F$7+P6*Summary!$F$8+Q6*Summary!$F$9)/Summary!$F$10)</f>
        <v/>
      </c>
      <c r="S6" s="17" t="str">
        <f t="shared" ref="S6:S305" si="1">IF(R6="","",RANK(R6,$R$6:$R$305))</f>
        <v/>
      </c>
      <c r="T6" s="17" t="str">
        <f>IF(S6="","",IF(S6&lt;=Summary!$B$5,"Featured candidate",""))</f>
        <v/>
      </c>
    </row>
    <row r="7" ht="14.25" customHeight="1">
      <c r="A7" s="8" t="s">
        <v>56</v>
      </c>
      <c r="B7" s="13" t="s">
        <v>57</v>
      </c>
      <c r="C7" s="13">
        <v>2026.0</v>
      </c>
      <c r="D7" s="13" t="s">
        <v>43</v>
      </c>
      <c r="E7" s="13" t="s">
        <v>44</v>
      </c>
      <c r="F7" s="13" t="s">
        <v>45</v>
      </c>
      <c r="G7" s="13" t="s">
        <v>58</v>
      </c>
      <c r="H7" s="14" t="s">
        <v>59</v>
      </c>
      <c r="I7" s="13" t="s">
        <v>48</v>
      </c>
      <c r="J7" s="13" t="s">
        <v>49</v>
      </c>
      <c r="K7" s="13" t="s">
        <v>49</v>
      </c>
      <c r="L7" s="13" t="s">
        <v>60</v>
      </c>
      <c r="M7" s="15"/>
      <c r="N7" s="15"/>
      <c r="O7" s="15"/>
      <c r="P7" s="15"/>
      <c r="Q7" s="15"/>
      <c r="R7" s="16" t="str">
        <f>IF(COUNT(M7:Q7)&lt;5,"",(M7*Summary!$F$5+N7*Summary!$F$6+O7*Summary!$F$7+P7*Summary!$F$8+Q7*Summary!$F$9)/Summary!$F$10)</f>
        <v/>
      </c>
      <c r="S7" s="17" t="str">
        <f t="shared" si="1"/>
        <v/>
      </c>
      <c r="T7" s="17" t="str">
        <f>IF(S7="","",IF(S7&lt;=Summary!$B$5,"Featured candidate",""))</f>
        <v/>
      </c>
    </row>
    <row r="8" ht="14.25" customHeight="1">
      <c r="A8" s="8" t="s">
        <v>61</v>
      </c>
      <c r="B8" s="18" t="s">
        <v>62</v>
      </c>
      <c r="C8" s="13">
        <v>2026.0</v>
      </c>
      <c r="D8" s="13" t="s">
        <v>43</v>
      </c>
      <c r="E8" s="18" t="s">
        <v>63</v>
      </c>
      <c r="F8" s="18" t="s">
        <v>45</v>
      </c>
      <c r="G8" s="18" t="s">
        <v>58</v>
      </c>
      <c r="H8" s="19" t="s">
        <v>64</v>
      </c>
      <c r="I8" s="18" t="s">
        <v>48</v>
      </c>
      <c r="J8" s="18" t="s">
        <v>49</v>
      </c>
      <c r="K8" s="18" t="s">
        <v>49</v>
      </c>
      <c r="L8" s="18" t="s">
        <v>65</v>
      </c>
      <c r="M8" s="15"/>
      <c r="N8" s="15"/>
      <c r="O8" s="15"/>
      <c r="P8" s="15"/>
      <c r="Q8" s="15"/>
      <c r="R8" s="16" t="str">
        <f>IF(COUNT(M8:Q8)&lt;5,"",(M8*Summary!$F$5+N8*Summary!$F$6+O8*Summary!$F$7+P8*Summary!$F$8+Q8*Summary!$F$9)/Summary!$F$10)</f>
        <v/>
      </c>
      <c r="S8" s="17" t="str">
        <f t="shared" si="1"/>
        <v/>
      </c>
      <c r="T8" s="17" t="str">
        <f>IF(S8="","",IF(S8&lt;=Summary!$B$5,"Featured candidate",""))</f>
        <v/>
      </c>
    </row>
    <row r="9" ht="14.25" customHeight="1">
      <c r="A9" s="8" t="s">
        <v>66</v>
      </c>
      <c r="B9" s="18" t="s">
        <v>67</v>
      </c>
      <c r="C9" s="13">
        <v>2026.0</v>
      </c>
      <c r="D9" s="13" t="s">
        <v>43</v>
      </c>
      <c r="E9" s="18" t="s">
        <v>63</v>
      </c>
      <c r="F9" s="18" t="s">
        <v>45</v>
      </c>
      <c r="G9" s="18" t="s">
        <v>53</v>
      </c>
      <c r="H9" s="19" t="s">
        <v>68</v>
      </c>
      <c r="I9" s="18" t="s">
        <v>48</v>
      </c>
      <c r="J9" s="18" t="s">
        <v>49</v>
      </c>
      <c r="K9" s="18" t="s">
        <v>49</v>
      </c>
      <c r="L9" s="18" t="s">
        <v>69</v>
      </c>
      <c r="M9" s="15"/>
      <c r="N9" s="15"/>
      <c r="O9" s="15"/>
      <c r="P9" s="15"/>
      <c r="Q9" s="15"/>
      <c r="R9" s="16" t="str">
        <f>IF(COUNT(M9:Q9)&lt;5,"",(M9*Summary!$F$5+N9*Summary!$F$6+O9*Summary!$F$7+P9*Summary!$F$8+Q9*Summary!$F$9)/Summary!$F$10)</f>
        <v/>
      </c>
      <c r="S9" s="17" t="str">
        <f t="shared" si="1"/>
        <v/>
      </c>
      <c r="T9" s="17" t="str">
        <f>IF(S9="","",IF(S9&lt;=Summary!$B$5,"Featured candidate",""))</f>
        <v/>
      </c>
    </row>
    <row r="10" ht="14.25" customHeight="1">
      <c r="A10" s="8" t="s">
        <v>70</v>
      </c>
      <c r="B10" s="18" t="s">
        <v>71</v>
      </c>
      <c r="C10" s="13"/>
      <c r="D10" s="18" t="s">
        <v>43</v>
      </c>
      <c r="E10" s="18" t="s">
        <v>72</v>
      </c>
      <c r="F10" s="18" t="s">
        <v>45</v>
      </c>
      <c r="G10" s="18" t="s">
        <v>53</v>
      </c>
      <c r="H10" s="19" t="s">
        <v>73</v>
      </c>
      <c r="I10" s="18" t="s">
        <v>48</v>
      </c>
      <c r="J10" s="18" t="s">
        <v>49</v>
      </c>
      <c r="K10" s="18" t="s">
        <v>49</v>
      </c>
      <c r="L10" s="18" t="s">
        <v>74</v>
      </c>
      <c r="M10" s="15"/>
      <c r="N10" s="15"/>
      <c r="O10" s="15"/>
      <c r="P10" s="15"/>
      <c r="Q10" s="15"/>
      <c r="R10" s="16" t="str">
        <f>IF(COUNT(M10:Q10)&lt;5,"",(M10*Summary!$F$5+N10*Summary!$F$6+O10*Summary!$F$7+P10*Summary!$F$8+Q10*Summary!$F$9)/Summary!$F$10)</f>
        <v/>
      </c>
      <c r="S10" s="17" t="str">
        <f t="shared" si="1"/>
        <v/>
      </c>
      <c r="T10" s="17" t="str">
        <f>IF(S10="","",IF(S10&lt;=Summary!$B$5,"Featured candidate",""))</f>
        <v/>
      </c>
    </row>
    <row r="11" ht="14.25" customHeight="1">
      <c r="A11" s="8" t="s">
        <v>75</v>
      </c>
      <c r="B11" s="18" t="s">
        <v>76</v>
      </c>
      <c r="C11" s="13"/>
      <c r="D11" s="18" t="s">
        <v>43</v>
      </c>
      <c r="E11" s="18" t="s">
        <v>77</v>
      </c>
      <c r="F11" s="18" t="s">
        <v>45</v>
      </c>
      <c r="G11" s="18" t="s">
        <v>53</v>
      </c>
      <c r="H11" s="19" t="s">
        <v>78</v>
      </c>
      <c r="I11" s="18" t="s">
        <v>48</v>
      </c>
      <c r="J11" s="18" t="s">
        <v>49</v>
      </c>
      <c r="K11" s="18" t="s">
        <v>49</v>
      </c>
      <c r="L11" s="18" t="s">
        <v>79</v>
      </c>
      <c r="M11" s="15"/>
      <c r="N11" s="15"/>
      <c r="O11" s="15"/>
      <c r="P11" s="15"/>
      <c r="Q11" s="15"/>
      <c r="R11" s="16" t="str">
        <f>IF(COUNT(M11:Q11)&lt;5,"",(M11*Summary!$F$5+N11*Summary!$F$6+O11*Summary!$F$7+P11*Summary!$F$8+Q11*Summary!$F$9)/Summary!$F$10)</f>
        <v/>
      </c>
      <c r="S11" s="17" t="str">
        <f t="shared" si="1"/>
        <v/>
      </c>
      <c r="T11" s="17" t="str">
        <f>IF(S11="","",IF(S11&lt;=Summary!$B$5,"Featured candidate",""))</f>
        <v/>
      </c>
    </row>
    <row r="12" ht="14.25" customHeight="1">
      <c r="A12" s="8" t="s">
        <v>80</v>
      </c>
      <c r="B12" s="18" t="s">
        <v>81</v>
      </c>
      <c r="C12" s="13"/>
      <c r="D12" s="18" t="s">
        <v>43</v>
      </c>
      <c r="E12" s="18" t="s">
        <v>82</v>
      </c>
      <c r="F12" s="18" t="s">
        <v>45</v>
      </c>
      <c r="G12" s="18" t="s">
        <v>53</v>
      </c>
      <c r="H12" s="19" t="s">
        <v>83</v>
      </c>
      <c r="I12" s="18" t="s">
        <v>48</v>
      </c>
      <c r="J12" s="18" t="s">
        <v>49</v>
      </c>
      <c r="K12" s="18" t="s">
        <v>49</v>
      </c>
      <c r="L12" s="18" t="s">
        <v>84</v>
      </c>
      <c r="M12" s="15"/>
      <c r="N12" s="15"/>
      <c r="O12" s="15"/>
      <c r="P12" s="15"/>
      <c r="Q12" s="15"/>
      <c r="R12" s="16" t="str">
        <f>IF(COUNT(M12:Q12)&lt;5,"",(M12*Summary!$F$5+N12*Summary!$F$6+O12*Summary!$F$7+P12*Summary!$F$8+Q12*Summary!$F$9)/Summary!$F$10)</f>
        <v/>
      </c>
      <c r="S12" s="17" t="str">
        <f t="shared" si="1"/>
        <v/>
      </c>
      <c r="T12" s="17" t="str">
        <f>IF(S12="","",IF(S12&lt;=Summary!$B$5,"Featured candidate",""))</f>
        <v/>
      </c>
    </row>
    <row r="13" ht="14.25" customHeight="1">
      <c r="A13" s="8" t="s">
        <v>85</v>
      </c>
      <c r="B13" s="18" t="s">
        <v>86</v>
      </c>
      <c r="C13" s="13"/>
      <c r="D13" s="18" t="s">
        <v>43</v>
      </c>
      <c r="E13" s="18" t="s">
        <v>77</v>
      </c>
      <c r="F13" s="18" t="s">
        <v>45</v>
      </c>
      <c r="G13" s="18" t="s">
        <v>53</v>
      </c>
      <c r="H13" s="19" t="s">
        <v>87</v>
      </c>
      <c r="I13" s="18" t="s">
        <v>48</v>
      </c>
      <c r="J13" s="18" t="s">
        <v>49</v>
      </c>
      <c r="K13" s="18" t="s">
        <v>49</v>
      </c>
      <c r="L13" s="18" t="s">
        <v>88</v>
      </c>
      <c r="M13" s="15"/>
      <c r="N13" s="15"/>
      <c r="O13" s="15"/>
      <c r="P13" s="15"/>
      <c r="Q13" s="15"/>
      <c r="R13" s="16" t="str">
        <f>IF(COUNT(M13:Q13)&lt;5,"",(M13*Summary!$F$5+N13*Summary!$F$6+O13*Summary!$F$7+P13*Summary!$F$8+Q13*Summary!$F$9)/Summary!$F$10)</f>
        <v/>
      </c>
      <c r="S13" s="17" t="str">
        <f t="shared" si="1"/>
        <v/>
      </c>
      <c r="T13" s="17" t="str">
        <f>IF(S13="","",IF(S13&lt;=Summary!$B$5,"Featured candidate",""))</f>
        <v/>
      </c>
    </row>
    <row r="14" ht="14.25" customHeight="1">
      <c r="A14" s="8" t="s">
        <v>89</v>
      </c>
      <c r="B14" s="18" t="s">
        <v>90</v>
      </c>
      <c r="C14" s="13"/>
      <c r="D14" s="18" t="s">
        <v>43</v>
      </c>
      <c r="E14" s="18" t="s">
        <v>63</v>
      </c>
      <c r="F14" s="18" t="s">
        <v>45</v>
      </c>
      <c r="G14" s="18" t="s">
        <v>58</v>
      </c>
      <c r="H14" s="19" t="s">
        <v>91</v>
      </c>
      <c r="I14" s="18" t="s">
        <v>48</v>
      </c>
      <c r="J14" s="18" t="s">
        <v>49</v>
      </c>
      <c r="K14" s="18" t="s">
        <v>49</v>
      </c>
      <c r="L14" s="18" t="s">
        <v>92</v>
      </c>
      <c r="M14" s="15"/>
      <c r="N14" s="15"/>
      <c r="O14" s="15"/>
      <c r="P14" s="15"/>
      <c r="Q14" s="15"/>
      <c r="R14" s="16" t="str">
        <f>IF(COUNT(M14:Q14)&lt;5,"",(M14*Summary!$F$5+N14*Summary!$F$6+O14*Summary!$F$7+P14*Summary!$F$8+Q14*Summary!$F$9)/Summary!$F$10)</f>
        <v/>
      </c>
      <c r="S14" s="17" t="str">
        <f t="shared" si="1"/>
        <v/>
      </c>
      <c r="T14" s="17" t="str">
        <f>IF(S14="","",IF(S14&lt;=Summary!$B$5,"Featured candidate",""))</f>
        <v/>
      </c>
    </row>
    <row r="15" ht="14.25" customHeight="1">
      <c r="A15" s="8" t="s">
        <v>93</v>
      </c>
      <c r="B15" s="18" t="s">
        <v>94</v>
      </c>
      <c r="C15" s="13"/>
      <c r="D15" s="18" t="s">
        <v>43</v>
      </c>
      <c r="E15" s="18" t="s">
        <v>44</v>
      </c>
      <c r="F15" s="18" t="s">
        <v>45</v>
      </c>
      <c r="G15" s="18" t="s">
        <v>58</v>
      </c>
      <c r="H15" s="19" t="s">
        <v>95</v>
      </c>
      <c r="I15" s="20" t="s">
        <v>48</v>
      </c>
      <c r="J15" s="18" t="s">
        <v>49</v>
      </c>
      <c r="K15" s="18" t="s">
        <v>49</v>
      </c>
      <c r="L15" s="20" t="s">
        <v>96</v>
      </c>
      <c r="M15" s="15"/>
      <c r="N15" s="15"/>
      <c r="O15" s="15"/>
      <c r="P15" s="15"/>
      <c r="Q15" s="15"/>
      <c r="R15" s="16" t="str">
        <f>IF(COUNT(M15:Q15)&lt;5,"",(M15*Summary!$F$5+N15*Summary!$F$6+O15*Summary!$F$7+P15*Summary!$F$8+Q15*Summary!$F$9)/Summary!$F$10)</f>
        <v/>
      </c>
      <c r="S15" s="17" t="str">
        <f t="shared" si="1"/>
        <v/>
      </c>
      <c r="T15" s="17" t="str">
        <f>IF(S15="","",IF(S15&lt;=Summary!$B$5,"Featured candidate",""))</f>
        <v/>
      </c>
    </row>
    <row r="16" ht="14.25" customHeight="1">
      <c r="A16" s="8" t="s">
        <v>97</v>
      </c>
      <c r="B16" s="18" t="s">
        <v>98</v>
      </c>
      <c r="C16" s="13"/>
      <c r="D16" s="18" t="s">
        <v>43</v>
      </c>
      <c r="E16" s="18" t="s">
        <v>63</v>
      </c>
      <c r="F16" s="18" t="s">
        <v>45</v>
      </c>
      <c r="G16" s="18" t="s">
        <v>58</v>
      </c>
      <c r="H16" s="19" t="s">
        <v>99</v>
      </c>
      <c r="I16" s="18" t="s">
        <v>48</v>
      </c>
      <c r="J16" s="18" t="s">
        <v>49</v>
      </c>
      <c r="K16" s="18" t="s">
        <v>49</v>
      </c>
      <c r="L16" s="18" t="s">
        <v>100</v>
      </c>
      <c r="M16" s="15"/>
      <c r="N16" s="15"/>
      <c r="O16" s="15"/>
      <c r="P16" s="15"/>
      <c r="Q16" s="15"/>
      <c r="R16" s="16" t="str">
        <f>IF(COUNT(M16:Q16)&lt;5,"",(M16*Summary!$F$5+N16*Summary!$F$6+O16*Summary!$F$7+P16*Summary!$F$8+Q16*Summary!$F$9)/Summary!$F$10)</f>
        <v/>
      </c>
      <c r="S16" s="17" t="str">
        <f t="shared" si="1"/>
        <v/>
      </c>
      <c r="T16" s="17" t="str">
        <f>IF(S16="","",IF(S16&lt;=Summary!$B$5,"Featured candidate",""))</f>
        <v/>
      </c>
    </row>
    <row r="17" ht="14.25" customHeight="1">
      <c r="A17" s="8" t="s">
        <v>101</v>
      </c>
      <c r="B17" s="18" t="s">
        <v>102</v>
      </c>
      <c r="C17" s="13"/>
      <c r="D17" s="18" t="s">
        <v>43</v>
      </c>
      <c r="E17" s="18" t="s">
        <v>63</v>
      </c>
      <c r="F17" s="18" t="s">
        <v>45</v>
      </c>
      <c r="G17" s="18" t="s">
        <v>58</v>
      </c>
      <c r="H17" s="21" t="s">
        <v>103</v>
      </c>
      <c r="I17" s="18" t="s">
        <v>48</v>
      </c>
      <c r="J17" s="18" t="s">
        <v>49</v>
      </c>
      <c r="K17" s="18" t="s">
        <v>49</v>
      </c>
      <c r="L17" s="18" t="s">
        <v>104</v>
      </c>
      <c r="M17" s="15"/>
      <c r="N17" s="15"/>
      <c r="O17" s="15"/>
      <c r="P17" s="15"/>
      <c r="Q17" s="15"/>
      <c r="R17" s="16" t="str">
        <f>IF(COUNT(M17:Q17)&lt;5,"",(M17*Summary!$F$5+N17*Summary!$F$6+O17*Summary!$F$7+P17*Summary!$F$8+Q17*Summary!$F$9)/Summary!$F$10)</f>
        <v/>
      </c>
      <c r="S17" s="17" t="str">
        <f t="shared" si="1"/>
        <v/>
      </c>
      <c r="T17" s="17" t="str">
        <f>IF(S17="","",IF(S17&lt;=Summary!$B$5,"Featured candidate",""))</f>
        <v/>
      </c>
    </row>
    <row r="18" ht="14.25" customHeight="1">
      <c r="A18" s="8" t="s">
        <v>105</v>
      </c>
      <c r="B18" s="18" t="s">
        <v>106</v>
      </c>
      <c r="C18" s="13"/>
      <c r="D18" s="18" t="s">
        <v>43</v>
      </c>
      <c r="E18" s="18" t="s">
        <v>63</v>
      </c>
      <c r="F18" s="18" t="s">
        <v>45</v>
      </c>
      <c r="G18" s="18" t="s">
        <v>46</v>
      </c>
      <c r="H18" s="22" t="str">
        <f>IFERROR(__xludf.DUMMYFUNCTION("AI(""Fill an appropriate value for this cell based on the table context"")"),"https://github.com/Rajkumar-Ai-Engineer/fake_news_detection_v1")</f>
        <v>https://github.com/Rajkumar-Ai-Engineer/fake_news_detection_v1</v>
      </c>
      <c r="I18" s="18" t="s">
        <v>48</v>
      </c>
      <c r="J18" s="18" t="s">
        <v>49</v>
      </c>
      <c r="K18" s="18" t="s">
        <v>49</v>
      </c>
      <c r="L18" s="18" t="s">
        <v>107</v>
      </c>
      <c r="M18" s="15"/>
      <c r="N18" s="15"/>
      <c r="O18" s="15"/>
      <c r="P18" s="15"/>
      <c r="Q18" s="15"/>
      <c r="R18" s="16" t="str">
        <f>IF(COUNT(M18:Q18)&lt;5,"",(M18*Summary!$F$5+N18*Summary!$F$6+O18*Summary!$F$7+P18*Summary!$F$8+Q18*Summary!$F$9)/Summary!$F$10)</f>
        <v/>
      </c>
      <c r="S18" s="17" t="str">
        <f t="shared" si="1"/>
        <v/>
      </c>
      <c r="T18" s="17" t="str">
        <f>IF(S18="","",IF(S18&lt;=Summary!$B$5,"Featured candidate",""))</f>
        <v/>
      </c>
    </row>
    <row r="19" ht="14.25" customHeight="1">
      <c r="A19" s="8" t="s">
        <v>108</v>
      </c>
      <c r="B19" s="18" t="s">
        <v>109</v>
      </c>
      <c r="C19" s="13"/>
      <c r="D19" s="18" t="s">
        <v>43</v>
      </c>
      <c r="E19" s="18" t="s">
        <v>63</v>
      </c>
      <c r="F19" s="18" t="s">
        <v>45</v>
      </c>
      <c r="G19" s="18" t="s">
        <v>58</v>
      </c>
      <c r="H19" s="19" t="s">
        <v>110</v>
      </c>
      <c r="I19" s="18" t="s">
        <v>48</v>
      </c>
      <c r="J19" s="18" t="s">
        <v>49</v>
      </c>
      <c r="K19" s="18" t="s">
        <v>49</v>
      </c>
      <c r="L19" s="18" t="s">
        <v>111</v>
      </c>
      <c r="M19" s="15"/>
      <c r="N19" s="15"/>
      <c r="O19" s="15"/>
      <c r="P19" s="15"/>
      <c r="Q19" s="15"/>
      <c r="R19" s="16" t="str">
        <f>IF(COUNT(M19:Q19)&lt;5,"",(M19*Summary!$F$5+N19*Summary!$F$6+O19*Summary!$F$7+P19*Summary!$F$8+Q19*Summary!$F$9)/Summary!$F$10)</f>
        <v/>
      </c>
      <c r="S19" s="17" t="str">
        <f t="shared" si="1"/>
        <v/>
      </c>
      <c r="T19" s="17" t="str">
        <f>IF(S19="","",IF(S19&lt;=Summary!$B$5,"Featured candidate",""))</f>
        <v/>
      </c>
    </row>
    <row r="20" ht="14.25" customHeight="1">
      <c r="A20" s="8" t="s">
        <v>112</v>
      </c>
      <c r="B20" s="18" t="s">
        <v>113</v>
      </c>
      <c r="C20" s="13"/>
      <c r="D20" s="18" t="s">
        <v>43</v>
      </c>
      <c r="E20" s="18" t="s">
        <v>82</v>
      </c>
      <c r="F20" s="18" t="s">
        <v>45</v>
      </c>
      <c r="G20" s="18" t="s">
        <v>58</v>
      </c>
      <c r="H20" s="19" t="s">
        <v>114</v>
      </c>
      <c r="I20" s="18" t="s">
        <v>48</v>
      </c>
      <c r="J20" s="18" t="s">
        <v>49</v>
      </c>
      <c r="K20" s="18" t="s">
        <v>49</v>
      </c>
      <c r="L20" s="18" t="s">
        <v>115</v>
      </c>
      <c r="M20" s="15"/>
      <c r="N20" s="15"/>
      <c r="O20" s="15"/>
      <c r="P20" s="15"/>
      <c r="Q20" s="15"/>
      <c r="R20" s="16" t="str">
        <f>IF(COUNT(M20:Q20)&lt;5,"",(M20*Summary!$F$5+N20*Summary!$F$6+O20*Summary!$F$7+P20*Summary!$F$8+Q20*Summary!$F$9)/Summary!$F$10)</f>
        <v/>
      </c>
      <c r="S20" s="17" t="str">
        <f t="shared" si="1"/>
        <v/>
      </c>
      <c r="T20" s="17" t="str">
        <f>IF(S20="","",IF(S20&lt;=Summary!$B$5,"Featured candidate",""))</f>
        <v/>
      </c>
    </row>
    <row r="21" ht="14.25" customHeight="1">
      <c r="A21" s="8" t="s">
        <v>116</v>
      </c>
      <c r="B21" s="18" t="s">
        <v>117</v>
      </c>
      <c r="C21" s="13"/>
      <c r="D21" s="18" t="s">
        <v>43</v>
      </c>
      <c r="E21" s="18" t="s">
        <v>63</v>
      </c>
      <c r="F21" s="18" t="s">
        <v>45</v>
      </c>
      <c r="G21" s="18" t="s">
        <v>58</v>
      </c>
      <c r="H21" s="19" t="s">
        <v>118</v>
      </c>
      <c r="I21" s="18" t="s">
        <v>48</v>
      </c>
      <c r="J21" s="18" t="s">
        <v>49</v>
      </c>
      <c r="K21" s="18" t="s">
        <v>49</v>
      </c>
      <c r="L21" s="18" t="s">
        <v>119</v>
      </c>
      <c r="M21" s="15"/>
      <c r="N21" s="15"/>
      <c r="O21" s="15"/>
      <c r="P21" s="15"/>
      <c r="Q21" s="15"/>
      <c r="R21" s="16" t="str">
        <f>IF(COUNT(M21:Q21)&lt;5,"",(M21*Summary!$F$5+N21*Summary!$F$6+O21*Summary!$F$7+P21*Summary!$F$8+Q21*Summary!$F$9)/Summary!$F$10)</f>
        <v/>
      </c>
      <c r="S21" s="17" t="str">
        <f t="shared" si="1"/>
        <v/>
      </c>
      <c r="T21" s="17" t="str">
        <f>IF(S21="","",IF(S21&lt;=Summary!$B$5,"Featured candidate",""))</f>
        <v/>
      </c>
    </row>
    <row r="22" ht="14.25" customHeight="1">
      <c r="A22" s="8" t="s">
        <v>120</v>
      </c>
      <c r="B22" s="18" t="s">
        <v>121</v>
      </c>
      <c r="C22" s="13"/>
      <c r="D22" s="18" t="s">
        <v>43</v>
      </c>
      <c r="E22" s="18" t="s">
        <v>82</v>
      </c>
      <c r="F22" s="18" t="s">
        <v>45</v>
      </c>
      <c r="G22" s="18" t="s">
        <v>53</v>
      </c>
      <c r="H22" s="19" t="s">
        <v>122</v>
      </c>
      <c r="I22" s="18" t="s">
        <v>48</v>
      </c>
      <c r="J22" s="18" t="s">
        <v>49</v>
      </c>
      <c r="K22" s="18" t="s">
        <v>49</v>
      </c>
      <c r="L22" s="18" t="s">
        <v>123</v>
      </c>
      <c r="M22" s="15"/>
      <c r="N22" s="15"/>
      <c r="O22" s="15"/>
      <c r="P22" s="15"/>
      <c r="Q22" s="15"/>
      <c r="R22" s="16" t="str">
        <f>IF(COUNT(M22:Q22)&lt;5,"",(M22*Summary!$F$5+N22*Summary!$F$6+O22*Summary!$F$7+P22*Summary!$F$8+Q22*Summary!$F$9)/Summary!$F$10)</f>
        <v/>
      </c>
      <c r="S22" s="17" t="str">
        <f t="shared" si="1"/>
        <v/>
      </c>
      <c r="T22" s="17" t="str">
        <f>IF(S22="","",IF(S22&lt;=Summary!$B$5,"Featured candidate",""))</f>
        <v/>
      </c>
    </row>
    <row r="23" ht="14.25" customHeight="1">
      <c r="A23" s="8" t="s">
        <v>124</v>
      </c>
      <c r="B23" s="18" t="s">
        <v>125</v>
      </c>
      <c r="C23" s="13"/>
      <c r="D23" s="18" t="s">
        <v>43</v>
      </c>
      <c r="E23" s="18" t="s">
        <v>126</v>
      </c>
      <c r="F23" s="18" t="s">
        <v>45</v>
      </c>
      <c r="G23" s="18" t="s">
        <v>58</v>
      </c>
      <c r="H23" s="19" t="s">
        <v>127</v>
      </c>
      <c r="I23" s="18" t="s">
        <v>48</v>
      </c>
      <c r="J23" s="18" t="s">
        <v>49</v>
      </c>
      <c r="K23" s="18" t="s">
        <v>49</v>
      </c>
      <c r="L23" s="18" t="s">
        <v>128</v>
      </c>
      <c r="M23" s="15"/>
      <c r="N23" s="15"/>
      <c r="O23" s="15"/>
      <c r="P23" s="15"/>
      <c r="Q23" s="15"/>
      <c r="R23" s="16" t="str">
        <f>IF(COUNT(M23:Q23)&lt;5,"",(M23*Summary!$F$5+N23*Summary!$F$6+O23*Summary!$F$7+P23*Summary!$F$8+Q23*Summary!$F$9)/Summary!$F$10)</f>
        <v/>
      </c>
      <c r="S23" s="17" t="str">
        <f t="shared" si="1"/>
        <v/>
      </c>
      <c r="T23" s="17" t="str">
        <f>IF(S23="","",IF(S23&lt;=Summary!$B$5,"Featured candidate",""))</f>
        <v/>
      </c>
    </row>
    <row r="24" ht="14.25" customHeight="1">
      <c r="A24" s="8" t="s">
        <v>129</v>
      </c>
      <c r="B24" s="18" t="s">
        <v>130</v>
      </c>
      <c r="C24" s="13"/>
      <c r="D24" s="18" t="s">
        <v>43</v>
      </c>
      <c r="E24" s="18" t="s">
        <v>63</v>
      </c>
      <c r="F24" s="18" t="s">
        <v>45</v>
      </c>
      <c r="G24" s="18" t="s">
        <v>58</v>
      </c>
      <c r="H24" s="19" t="s">
        <v>131</v>
      </c>
      <c r="I24" s="18" t="s">
        <v>48</v>
      </c>
      <c r="J24" s="18" t="s">
        <v>49</v>
      </c>
      <c r="K24" s="18" t="s">
        <v>49</v>
      </c>
      <c r="L24" s="18" t="s">
        <v>132</v>
      </c>
      <c r="M24" s="15"/>
      <c r="N24" s="15"/>
      <c r="O24" s="15"/>
      <c r="P24" s="15"/>
      <c r="Q24" s="15"/>
      <c r="R24" s="16" t="str">
        <f>IF(COUNT(M24:Q24)&lt;5,"",(M24*Summary!$F$5+N24*Summary!$F$6+O24*Summary!$F$7+P24*Summary!$F$8+Q24*Summary!$F$9)/Summary!$F$10)</f>
        <v/>
      </c>
      <c r="S24" s="17" t="str">
        <f t="shared" si="1"/>
        <v/>
      </c>
      <c r="T24" s="17" t="str">
        <f>IF(S24="","",IF(S24&lt;=Summary!$B$5,"Featured candidate",""))</f>
        <v/>
      </c>
    </row>
    <row r="25" ht="14.25" customHeight="1">
      <c r="A25" s="8" t="s">
        <v>133</v>
      </c>
      <c r="B25" s="18" t="s">
        <v>134</v>
      </c>
      <c r="C25" s="13"/>
      <c r="D25" s="18" t="s">
        <v>43</v>
      </c>
      <c r="E25" s="18" t="s">
        <v>44</v>
      </c>
      <c r="F25" s="18" t="s">
        <v>45</v>
      </c>
      <c r="G25" s="18" t="s">
        <v>46</v>
      </c>
      <c r="H25" s="19" t="s">
        <v>135</v>
      </c>
      <c r="I25" s="18" t="s">
        <v>48</v>
      </c>
      <c r="J25" s="18" t="s">
        <v>49</v>
      </c>
      <c r="K25" s="18" t="s">
        <v>49</v>
      </c>
      <c r="L25" s="18" t="s">
        <v>136</v>
      </c>
      <c r="M25" s="15"/>
      <c r="N25" s="15"/>
      <c r="O25" s="15"/>
      <c r="P25" s="15"/>
      <c r="Q25" s="15"/>
      <c r="R25" s="16" t="str">
        <f>IF(COUNT(M25:Q25)&lt;5,"",(M25*Summary!$F$5+N25*Summary!$F$6+O25*Summary!$F$7+P25*Summary!$F$8+Q25*Summary!$F$9)/Summary!$F$10)</f>
        <v/>
      </c>
      <c r="S25" s="17" t="str">
        <f t="shared" si="1"/>
        <v/>
      </c>
      <c r="T25" s="17" t="str">
        <f>IF(S25="","",IF(S25&lt;=Summary!$B$5,"Featured candidate",""))</f>
        <v/>
      </c>
    </row>
    <row r="26" ht="14.25" customHeight="1">
      <c r="A26" s="8" t="s">
        <v>137</v>
      </c>
      <c r="B26" s="18" t="s">
        <v>138</v>
      </c>
      <c r="C26" s="13"/>
      <c r="D26" s="18" t="s">
        <v>43</v>
      </c>
      <c r="E26" s="18" t="s">
        <v>63</v>
      </c>
      <c r="F26" s="18" t="s">
        <v>45</v>
      </c>
      <c r="G26" s="18" t="s">
        <v>53</v>
      </c>
      <c r="H26" s="19" t="s">
        <v>139</v>
      </c>
      <c r="I26" s="18" t="s">
        <v>48</v>
      </c>
      <c r="J26" s="18" t="s">
        <v>49</v>
      </c>
      <c r="K26" s="18" t="s">
        <v>49</v>
      </c>
      <c r="L26" s="18" t="s">
        <v>140</v>
      </c>
      <c r="M26" s="15"/>
      <c r="N26" s="15"/>
      <c r="O26" s="15"/>
      <c r="P26" s="15"/>
      <c r="Q26" s="15"/>
      <c r="R26" s="16" t="str">
        <f>IF(COUNT(M26:Q26)&lt;5,"",(M26*Summary!$F$5+N26*Summary!$F$6+O26*Summary!$F$7+P26*Summary!$F$8+Q26*Summary!$F$9)/Summary!$F$10)</f>
        <v/>
      </c>
      <c r="S26" s="17" t="str">
        <f t="shared" si="1"/>
        <v/>
      </c>
      <c r="T26" s="17" t="str">
        <f>IF(S26="","",IF(S26&lt;=Summary!$B$5,"Featured candidate",""))</f>
        <v/>
      </c>
    </row>
    <row r="27" ht="14.25" customHeight="1">
      <c r="A27" s="8" t="s">
        <v>141</v>
      </c>
      <c r="B27" s="18" t="s">
        <v>142</v>
      </c>
      <c r="C27" s="13"/>
      <c r="D27" s="18" t="s">
        <v>43</v>
      </c>
      <c r="E27" s="18" t="s">
        <v>143</v>
      </c>
      <c r="F27" s="18" t="s">
        <v>45</v>
      </c>
      <c r="G27" s="18" t="s">
        <v>46</v>
      </c>
      <c r="H27" s="19" t="s">
        <v>144</v>
      </c>
      <c r="I27" s="18" t="s">
        <v>48</v>
      </c>
      <c r="J27" s="18" t="s">
        <v>49</v>
      </c>
      <c r="K27" s="18" t="s">
        <v>49</v>
      </c>
      <c r="L27" s="18" t="s">
        <v>145</v>
      </c>
      <c r="M27" s="15"/>
      <c r="N27" s="15"/>
      <c r="O27" s="15"/>
      <c r="P27" s="15"/>
      <c r="Q27" s="15"/>
      <c r="R27" s="16" t="str">
        <f>IF(COUNT(M27:Q27)&lt;5,"",(M27*Summary!$F$5+N27*Summary!$F$6+O27*Summary!$F$7+P27*Summary!$F$8+Q27*Summary!$F$9)/Summary!$F$10)</f>
        <v/>
      </c>
      <c r="S27" s="17" t="str">
        <f t="shared" si="1"/>
        <v/>
      </c>
      <c r="T27" s="17" t="str">
        <f>IF(S27="","",IF(S27&lt;=Summary!$B$5,"Featured candidate",""))</f>
        <v/>
      </c>
    </row>
    <row r="28" ht="14.25" customHeight="1">
      <c r="A28" s="8" t="s">
        <v>146</v>
      </c>
      <c r="B28" s="18" t="s">
        <v>147</v>
      </c>
      <c r="C28" s="13"/>
      <c r="D28" s="18" t="s">
        <v>43</v>
      </c>
      <c r="E28" s="18" t="s">
        <v>126</v>
      </c>
      <c r="F28" s="18" t="s">
        <v>45</v>
      </c>
      <c r="G28" s="18" t="s">
        <v>58</v>
      </c>
      <c r="H28" s="19" t="s">
        <v>148</v>
      </c>
      <c r="I28" s="18" t="s">
        <v>48</v>
      </c>
      <c r="J28" s="18" t="s">
        <v>49</v>
      </c>
      <c r="K28" s="18" t="s">
        <v>49</v>
      </c>
      <c r="L28" s="18" t="s">
        <v>149</v>
      </c>
      <c r="M28" s="15"/>
      <c r="N28" s="15"/>
      <c r="O28" s="15"/>
      <c r="P28" s="15"/>
      <c r="Q28" s="15"/>
      <c r="R28" s="16" t="str">
        <f>IF(COUNT(M28:Q28)&lt;5,"",(M28*Summary!$F$5+N28*Summary!$F$6+O28*Summary!$F$7+P28*Summary!$F$8+Q28*Summary!$F$9)/Summary!$F$10)</f>
        <v/>
      </c>
      <c r="S28" s="17" t="str">
        <f t="shared" si="1"/>
        <v/>
      </c>
      <c r="T28" s="17" t="str">
        <f>IF(S28="","",IF(S28&lt;=Summary!$B$5,"Featured candidate",""))</f>
        <v/>
      </c>
    </row>
    <row r="29" ht="14.25" customHeight="1">
      <c r="A29" s="8" t="s">
        <v>150</v>
      </c>
      <c r="B29" s="18" t="s">
        <v>151</v>
      </c>
      <c r="C29" s="13"/>
      <c r="D29" s="18" t="s">
        <v>43</v>
      </c>
      <c r="E29" s="18" t="s">
        <v>126</v>
      </c>
      <c r="F29" s="18" t="s">
        <v>45</v>
      </c>
      <c r="G29" s="18" t="s">
        <v>53</v>
      </c>
      <c r="H29" s="19" t="s">
        <v>152</v>
      </c>
      <c r="I29" s="18" t="s">
        <v>48</v>
      </c>
      <c r="J29" s="18" t="s">
        <v>49</v>
      </c>
      <c r="K29" s="18" t="s">
        <v>49</v>
      </c>
      <c r="L29" s="18" t="s">
        <v>153</v>
      </c>
      <c r="M29" s="15"/>
      <c r="N29" s="15"/>
      <c r="O29" s="15"/>
      <c r="P29" s="15"/>
      <c r="Q29" s="15"/>
      <c r="R29" s="16" t="str">
        <f>IF(COUNT(M29:Q29)&lt;5,"",(M29*Summary!$F$5+N29*Summary!$F$6+O29*Summary!$F$7+P29*Summary!$F$8+Q29*Summary!$F$9)/Summary!$F$10)</f>
        <v/>
      </c>
      <c r="S29" s="17" t="str">
        <f t="shared" si="1"/>
        <v/>
      </c>
      <c r="T29" s="17" t="str">
        <f>IF(S29="","",IF(S29&lt;=Summary!$B$5,"Featured candidate",""))</f>
        <v/>
      </c>
    </row>
    <row r="30" ht="14.25" customHeight="1">
      <c r="A30" s="8" t="s">
        <v>154</v>
      </c>
      <c r="B30" s="18" t="s">
        <v>155</v>
      </c>
      <c r="C30" s="13"/>
      <c r="D30" s="18" t="s">
        <v>43</v>
      </c>
      <c r="E30" s="18" t="s">
        <v>126</v>
      </c>
      <c r="F30" s="18" t="s">
        <v>45</v>
      </c>
      <c r="G30" s="18" t="s">
        <v>53</v>
      </c>
      <c r="H30" s="19" t="s">
        <v>156</v>
      </c>
      <c r="I30" s="18" t="s">
        <v>48</v>
      </c>
      <c r="J30" s="18" t="s">
        <v>49</v>
      </c>
      <c r="K30" s="18" t="s">
        <v>49</v>
      </c>
      <c r="L30" s="18" t="s">
        <v>157</v>
      </c>
      <c r="M30" s="15"/>
      <c r="N30" s="15"/>
      <c r="O30" s="15"/>
      <c r="P30" s="15"/>
      <c r="Q30" s="15"/>
      <c r="R30" s="16" t="str">
        <f>IF(COUNT(M30:Q30)&lt;5,"",(M30*Summary!$F$5+N30*Summary!$F$6+O30*Summary!$F$7+P30*Summary!$F$8+Q30*Summary!$F$9)/Summary!$F$10)</f>
        <v/>
      </c>
      <c r="S30" s="17" t="str">
        <f t="shared" si="1"/>
        <v/>
      </c>
      <c r="T30" s="17" t="str">
        <f>IF(S30="","",IF(S30&lt;=Summary!$B$5,"Featured candidate",""))</f>
        <v/>
      </c>
    </row>
    <row r="31" ht="14.25" customHeight="1">
      <c r="A31" s="8" t="s">
        <v>158</v>
      </c>
      <c r="B31" s="18" t="s">
        <v>159</v>
      </c>
      <c r="C31" s="13"/>
      <c r="D31" s="18" t="s">
        <v>43</v>
      </c>
      <c r="E31" s="18" t="s">
        <v>126</v>
      </c>
      <c r="F31" s="18" t="s">
        <v>45</v>
      </c>
      <c r="G31" s="18" t="s">
        <v>58</v>
      </c>
      <c r="H31" s="19" t="s">
        <v>160</v>
      </c>
      <c r="I31" s="18" t="s">
        <v>48</v>
      </c>
      <c r="J31" s="18" t="s">
        <v>49</v>
      </c>
      <c r="K31" s="18" t="s">
        <v>49</v>
      </c>
      <c r="L31" s="18" t="s">
        <v>161</v>
      </c>
      <c r="M31" s="15"/>
      <c r="N31" s="15"/>
      <c r="O31" s="15"/>
      <c r="P31" s="15"/>
      <c r="Q31" s="15"/>
      <c r="R31" s="16" t="str">
        <f>IF(COUNT(M31:Q31)&lt;5,"",(M31*Summary!$F$5+N31*Summary!$F$6+O31*Summary!$F$7+P31*Summary!$F$8+Q31*Summary!$F$9)/Summary!$F$10)</f>
        <v/>
      </c>
      <c r="S31" s="17" t="str">
        <f t="shared" si="1"/>
        <v/>
      </c>
      <c r="T31" s="17" t="str">
        <f>IF(S31="","",IF(S31&lt;=Summary!$B$5,"Featured candidate",""))</f>
        <v/>
      </c>
    </row>
    <row r="32" ht="14.25" customHeight="1">
      <c r="A32" s="8" t="s">
        <v>162</v>
      </c>
      <c r="B32" s="18" t="s">
        <v>163</v>
      </c>
      <c r="C32" s="13"/>
      <c r="D32" s="18" t="s">
        <v>43</v>
      </c>
      <c r="E32" s="18" t="s">
        <v>63</v>
      </c>
      <c r="F32" s="18" t="s">
        <v>45</v>
      </c>
      <c r="G32" s="18" t="s">
        <v>53</v>
      </c>
      <c r="H32" s="19" t="s">
        <v>164</v>
      </c>
      <c r="I32" s="18" t="s">
        <v>48</v>
      </c>
      <c r="J32" s="18" t="s">
        <v>49</v>
      </c>
      <c r="K32" s="18" t="s">
        <v>49</v>
      </c>
      <c r="L32" s="18" t="s">
        <v>165</v>
      </c>
      <c r="M32" s="15"/>
      <c r="N32" s="15"/>
      <c r="O32" s="15"/>
      <c r="P32" s="15"/>
      <c r="Q32" s="15"/>
      <c r="R32" s="16" t="str">
        <f>IF(COUNT(M32:Q32)&lt;5,"",(M32*Summary!$F$5+N32*Summary!$F$6+O32*Summary!$F$7+P32*Summary!$F$8+Q32*Summary!$F$9)/Summary!$F$10)</f>
        <v/>
      </c>
      <c r="S32" s="17" t="str">
        <f t="shared" si="1"/>
        <v/>
      </c>
      <c r="T32" s="17" t="str">
        <f>IF(S32="","",IF(S32&lt;=Summary!$B$5,"Featured candidate",""))</f>
        <v/>
      </c>
    </row>
    <row r="33" ht="14.25" customHeight="1">
      <c r="A33" s="8" t="s">
        <v>166</v>
      </c>
      <c r="B33" s="18" t="s">
        <v>167</v>
      </c>
      <c r="C33" s="13"/>
      <c r="D33" s="18" t="s">
        <v>43</v>
      </c>
      <c r="E33" s="18" t="s">
        <v>126</v>
      </c>
      <c r="F33" s="18" t="s">
        <v>45</v>
      </c>
      <c r="G33" s="18" t="s">
        <v>58</v>
      </c>
      <c r="H33" s="19" t="s">
        <v>168</v>
      </c>
      <c r="I33" s="18" t="s">
        <v>48</v>
      </c>
      <c r="J33" s="18" t="s">
        <v>49</v>
      </c>
      <c r="K33" s="18" t="s">
        <v>49</v>
      </c>
      <c r="L33" s="18" t="s">
        <v>169</v>
      </c>
      <c r="M33" s="15"/>
      <c r="N33" s="15"/>
      <c r="O33" s="15"/>
      <c r="P33" s="15"/>
      <c r="Q33" s="15"/>
      <c r="R33" s="16" t="str">
        <f>IF(COUNT(M33:Q33)&lt;5,"",(M33*Summary!$F$5+N33*Summary!$F$6+O33*Summary!$F$7+P33*Summary!$F$8+Q33*Summary!$F$9)/Summary!$F$10)</f>
        <v/>
      </c>
      <c r="S33" s="17" t="str">
        <f t="shared" si="1"/>
        <v/>
      </c>
      <c r="T33" s="17" t="str">
        <f>IF(S33="","",IF(S33&lt;=Summary!$B$5,"Featured candidate",""))</f>
        <v/>
      </c>
    </row>
    <row r="34" ht="14.25" customHeight="1">
      <c r="A34" s="8" t="s">
        <v>170</v>
      </c>
      <c r="B34" s="18" t="s">
        <v>171</v>
      </c>
      <c r="C34" s="13"/>
      <c r="D34" s="18" t="s">
        <v>43</v>
      </c>
      <c r="E34" s="18" t="s">
        <v>72</v>
      </c>
      <c r="F34" s="18" t="s">
        <v>45</v>
      </c>
      <c r="G34" s="18" t="s">
        <v>58</v>
      </c>
      <c r="H34" s="19" t="s">
        <v>172</v>
      </c>
      <c r="I34" s="18" t="s">
        <v>48</v>
      </c>
      <c r="J34" s="18" t="s">
        <v>49</v>
      </c>
      <c r="K34" s="18" t="s">
        <v>49</v>
      </c>
      <c r="L34" s="18" t="s">
        <v>173</v>
      </c>
      <c r="M34" s="15"/>
      <c r="N34" s="15"/>
      <c r="O34" s="15"/>
      <c r="P34" s="15"/>
      <c r="Q34" s="15"/>
      <c r="R34" s="16" t="str">
        <f>IF(COUNT(M34:Q34)&lt;5,"",(M34*Summary!$F$5+N34*Summary!$F$6+O34*Summary!$F$7+P34*Summary!$F$8+Q34*Summary!$F$9)/Summary!$F$10)</f>
        <v/>
      </c>
      <c r="S34" s="17" t="str">
        <f t="shared" si="1"/>
        <v/>
      </c>
      <c r="T34" s="17" t="str">
        <f>IF(S34="","",IF(S34&lt;=Summary!$B$5,"Featured candidate",""))</f>
        <v/>
      </c>
    </row>
    <row r="35" ht="14.25" customHeight="1">
      <c r="A35" s="8" t="s">
        <v>174</v>
      </c>
      <c r="B35" s="18" t="s">
        <v>175</v>
      </c>
      <c r="C35" s="13"/>
      <c r="D35" s="18" t="s">
        <v>43</v>
      </c>
      <c r="E35" s="18" t="s">
        <v>63</v>
      </c>
      <c r="F35" s="18" t="s">
        <v>45</v>
      </c>
      <c r="G35" s="18" t="s">
        <v>46</v>
      </c>
      <c r="H35" s="19" t="s">
        <v>176</v>
      </c>
      <c r="I35" s="18" t="s">
        <v>48</v>
      </c>
      <c r="J35" s="18" t="s">
        <v>49</v>
      </c>
      <c r="K35" s="18" t="s">
        <v>49</v>
      </c>
      <c r="L35" s="18" t="s">
        <v>177</v>
      </c>
      <c r="M35" s="15"/>
      <c r="N35" s="15"/>
      <c r="O35" s="15"/>
      <c r="P35" s="15"/>
      <c r="Q35" s="15"/>
      <c r="R35" s="16" t="str">
        <f>IF(COUNT(M35:Q35)&lt;5,"",(M35*Summary!$F$5+N35*Summary!$F$6+O35*Summary!$F$7+P35*Summary!$F$8+Q35*Summary!$F$9)/Summary!$F$10)</f>
        <v/>
      </c>
      <c r="S35" s="17" t="str">
        <f t="shared" si="1"/>
        <v/>
      </c>
      <c r="T35" s="17" t="str">
        <f>IF(S35="","",IF(S35&lt;=Summary!$B$5,"Featured candidate",""))</f>
        <v/>
      </c>
    </row>
    <row r="36" ht="14.25" customHeight="1">
      <c r="A36" s="8" t="s">
        <v>178</v>
      </c>
      <c r="B36" s="18" t="s">
        <v>179</v>
      </c>
      <c r="C36" s="13"/>
      <c r="D36" s="18" t="s">
        <v>43</v>
      </c>
      <c r="E36" s="18" t="s">
        <v>63</v>
      </c>
      <c r="F36" s="18" t="s">
        <v>45</v>
      </c>
      <c r="G36" s="18" t="s">
        <v>58</v>
      </c>
      <c r="H36" s="19" t="s">
        <v>180</v>
      </c>
      <c r="I36" s="18" t="s">
        <v>48</v>
      </c>
      <c r="J36" s="18" t="s">
        <v>49</v>
      </c>
      <c r="K36" s="18" t="s">
        <v>49</v>
      </c>
      <c r="L36" s="18" t="s">
        <v>181</v>
      </c>
      <c r="M36" s="15"/>
      <c r="N36" s="15"/>
      <c r="O36" s="15"/>
      <c r="P36" s="15"/>
      <c r="Q36" s="15"/>
      <c r="R36" s="16" t="str">
        <f>IF(COUNT(M36:Q36)&lt;5,"",(M36*Summary!$F$5+N36*Summary!$F$6+O36*Summary!$F$7+P36*Summary!$F$8+Q36*Summary!$F$9)/Summary!$F$10)</f>
        <v/>
      </c>
      <c r="S36" s="17" t="str">
        <f t="shared" si="1"/>
        <v/>
      </c>
      <c r="T36" s="17" t="str">
        <f>IF(S36="","",IF(S36&lt;=Summary!$B$5,"Featured candidate",""))</f>
        <v/>
      </c>
    </row>
    <row r="37" ht="14.25" customHeight="1">
      <c r="A37" s="8" t="s">
        <v>182</v>
      </c>
      <c r="B37" s="18" t="s">
        <v>183</v>
      </c>
      <c r="C37" s="13"/>
      <c r="D37" s="18" t="s">
        <v>43</v>
      </c>
      <c r="E37" s="18" t="s">
        <v>126</v>
      </c>
      <c r="F37" s="18" t="s">
        <v>45</v>
      </c>
      <c r="G37" s="18" t="s">
        <v>53</v>
      </c>
      <c r="H37" s="19" t="s">
        <v>184</v>
      </c>
      <c r="I37" s="18" t="s">
        <v>48</v>
      </c>
      <c r="J37" s="18" t="s">
        <v>49</v>
      </c>
      <c r="K37" s="18" t="s">
        <v>49</v>
      </c>
      <c r="L37" s="18" t="s">
        <v>185</v>
      </c>
      <c r="M37" s="15"/>
      <c r="N37" s="15"/>
      <c r="O37" s="15"/>
      <c r="P37" s="15"/>
      <c r="Q37" s="15"/>
      <c r="R37" s="16" t="str">
        <f>IF(COUNT(M37:Q37)&lt;5,"",(M37*Summary!$F$5+N37*Summary!$F$6+O37*Summary!$F$7+P37*Summary!$F$8+Q37*Summary!$F$9)/Summary!$F$10)</f>
        <v/>
      </c>
      <c r="S37" s="17" t="str">
        <f t="shared" si="1"/>
        <v/>
      </c>
      <c r="T37" s="17" t="str">
        <f>IF(S37="","",IF(S37&lt;=Summary!$B$5,"Featured candidate",""))</f>
        <v/>
      </c>
    </row>
    <row r="38" ht="14.25" customHeight="1">
      <c r="A38" s="8" t="s">
        <v>186</v>
      </c>
      <c r="B38" s="20" t="s">
        <v>187</v>
      </c>
      <c r="C38" s="13"/>
      <c r="D38" s="18" t="s">
        <v>43</v>
      </c>
      <c r="E38" s="13"/>
      <c r="F38" s="18" t="s">
        <v>45</v>
      </c>
      <c r="G38" s="18" t="s">
        <v>53</v>
      </c>
      <c r="H38" s="19" t="s">
        <v>188</v>
      </c>
      <c r="I38" s="13"/>
      <c r="J38" s="18" t="s">
        <v>49</v>
      </c>
      <c r="K38" s="18" t="s">
        <v>49</v>
      </c>
      <c r="L38" s="18" t="s">
        <v>189</v>
      </c>
      <c r="M38" s="15"/>
      <c r="N38" s="15"/>
      <c r="O38" s="15"/>
      <c r="P38" s="15"/>
      <c r="Q38" s="15"/>
      <c r="R38" s="16" t="str">
        <f>IF(COUNT(M38:Q38)&lt;5,"",(M38*Summary!$F$5+N38*Summary!$F$6+O38*Summary!$F$7+P38*Summary!$F$8+Q38*Summary!$F$9)/Summary!$F$10)</f>
        <v/>
      </c>
      <c r="S38" s="17" t="str">
        <f t="shared" si="1"/>
        <v/>
      </c>
      <c r="T38" s="17" t="str">
        <f>IF(S38="","",IF(S38&lt;=Summary!$B$5,"Featured candidate",""))</f>
        <v/>
      </c>
    </row>
    <row r="39" ht="14.25" customHeight="1">
      <c r="A39" s="8" t="s">
        <v>190</v>
      </c>
      <c r="B39" s="13"/>
      <c r="C39" s="13"/>
      <c r="D39" s="18" t="s">
        <v>43</v>
      </c>
      <c r="E39" s="13"/>
      <c r="F39" s="18" t="s">
        <v>45</v>
      </c>
      <c r="G39" s="13"/>
      <c r="H39" s="13"/>
      <c r="I39" s="13"/>
      <c r="J39" s="18" t="s">
        <v>49</v>
      </c>
      <c r="K39" s="18" t="s">
        <v>49</v>
      </c>
      <c r="L39" s="13"/>
      <c r="M39" s="15"/>
      <c r="N39" s="15"/>
      <c r="O39" s="15"/>
      <c r="P39" s="15"/>
      <c r="Q39" s="15"/>
      <c r="R39" s="16" t="str">
        <f>IF(COUNT(M39:Q39)&lt;5,"",(M39*Summary!$F$5+N39*Summary!$F$6+O39*Summary!$F$7+P39*Summary!$F$8+Q39*Summary!$F$9)/Summary!$F$10)</f>
        <v/>
      </c>
      <c r="S39" s="17" t="str">
        <f t="shared" si="1"/>
        <v/>
      </c>
      <c r="T39" s="17" t="str">
        <f>IF(S39="","",IF(S39&lt;=Summary!$B$5,"Featured candidate",""))</f>
        <v/>
      </c>
    </row>
    <row r="40" ht="14.25" customHeight="1">
      <c r="A40" s="8" t="s">
        <v>191</v>
      </c>
      <c r="B40" s="13"/>
      <c r="C40" s="13"/>
      <c r="D40" s="18" t="s">
        <v>43</v>
      </c>
      <c r="E40" s="13"/>
      <c r="F40" s="18" t="s">
        <v>45</v>
      </c>
      <c r="G40" s="13"/>
      <c r="H40" s="13"/>
      <c r="I40" s="13"/>
      <c r="J40" s="13"/>
      <c r="K40" s="18" t="s">
        <v>49</v>
      </c>
      <c r="L40" s="13"/>
      <c r="M40" s="15"/>
      <c r="N40" s="15"/>
      <c r="O40" s="15"/>
      <c r="P40" s="15"/>
      <c r="Q40" s="15"/>
      <c r="R40" s="16" t="str">
        <f>IF(COUNT(M40:Q40)&lt;5,"",(M40*Summary!$F$5+N40*Summary!$F$6+O40*Summary!$F$7+P40*Summary!$F$8+Q40*Summary!$F$9)/Summary!$F$10)</f>
        <v/>
      </c>
      <c r="S40" s="17" t="str">
        <f t="shared" si="1"/>
        <v/>
      </c>
      <c r="T40" s="17" t="str">
        <f>IF(S40="","",IF(S40&lt;=Summary!$B$5,"Featured candidate",""))</f>
        <v/>
      </c>
    </row>
    <row r="41" ht="14.25" customHeight="1">
      <c r="A41" s="8" t="s">
        <v>192</v>
      </c>
      <c r="B41" s="13"/>
      <c r="C41" s="13"/>
      <c r="D41" s="13"/>
      <c r="E41" s="13"/>
      <c r="F41" s="18" t="s">
        <v>45</v>
      </c>
      <c r="G41" s="13"/>
      <c r="H41" s="13"/>
      <c r="I41" s="13"/>
      <c r="J41" s="13"/>
      <c r="K41" s="18" t="s">
        <v>49</v>
      </c>
      <c r="L41" s="13"/>
      <c r="M41" s="15"/>
      <c r="N41" s="15"/>
      <c r="O41" s="15"/>
      <c r="P41" s="15"/>
      <c r="Q41" s="15"/>
      <c r="R41" s="16" t="str">
        <f>IF(COUNT(M41:Q41)&lt;5,"",(M41*Summary!$F$5+N41*Summary!$F$6+O41*Summary!$F$7+P41*Summary!$F$8+Q41*Summary!$F$9)/Summary!$F$10)</f>
        <v/>
      </c>
      <c r="S41" s="17" t="str">
        <f t="shared" si="1"/>
        <v/>
      </c>
      <c r="T41" s="17" t="str">
        <f>IF(S41="","",IF(S41&lt;=Summary!$B$5,"Featured candidate",""))</f>
        <v/>
      </c>
    </row>
    <row r="42" ht="14.25" customHeight="1">
      <c r="A42" s="8" t="s">
        <v>193</v>
      </c>
      <c r="B42" s="13"/>
      <c r="C42" s="13"/>
      <c r="D42" s="13"/>
      <c r="E42" s="13"/>
      <c r="F42" s="13"/>
      <c r="G42" s="13"/>
      <c r="H42" s="13"/>
      <c r="I42" s="13"/>
      <c r="J42" s="13"/>
      <c r="K42" s="13"/>
      <c r="L42" s="13"/>
      <c r="M42" s="15"/>
      <c r="N42" s="15"/>
      <c r="O42" s="15"/>
      <c r="P42" s="15"/>
      <c r="Q42" s="15"/>
      <c r="R42" s="16" t="str">
        <f>IF(COUNT(M42:Q42)&lt;5,"",(M42*Summary!$F$5+N42*Summary!$F$6+O42*Summary!$F$7+P42*Summary!$F$8+Q42*Summary!$F$9)/Summary!$F$10)</f>
        <v/>
      </c>
      <c r="S42" s="17" t="str">
        <f t="shared" si="1"/>
        <v/>
      </c>
      <c r="T42" s="17" t="str">
        <f>IF(S42="","",IF(S42&lt;=Summary!$B$5,"Featured candidate",""))</f>
        <v/>
      </c>
    </row>
    <row r="43" ht="14.25" customHeight="1">
      <c r="A43" s="8" t="s">
        <v>194</v>
      </c>
      <c r="B43" s="13"/>
      <c r="C43" s="13"/>
      <c r="D43" s="13"/>
      <c r="E43" s="13"/>
      <c r="F43" s="13"/>
      <c r="G43" s="13"/>
      <c r="H43" s="13"/>
      <c r="I43" s="13"/>
      <c r="J43" s="13"/>
      <c r="K43" s="13"/>
      <c r="L43" s="13"/>
      <c r="M43" s="15"/>
      <c r="N43" s="15"/>
      <c r="O43" s="15"/>
      <c r="P43" s="15"/>
      <c r="Q43" s="15"/>
      <c r="R43" s="16" t="str">
        <f>IF(COUNT(M43:Q43)&lt;5,"",(M43*Summary!$F$5+N43*Summary!$F$6+O43*Summary!$F$7+P43*Summary!$F$8+Q43*Summary!$F$9)/Summary!$F$10)</f>
        <v/>
      </c>
      <c r="S43" s="17" t="str">
        <f t="shared" si="1"/>
        <v/>
      </c>
      <c r="T43" s="17" t="str">
        <f>IF(S43="","",IF(S43&lt;=Summary!$B$5,"Featured candidate",""))</f>
        <v/>
      </c>
    </row>
    <row r="44" ht="14.25" customHeight="1">
      <c r="A44" s="8" t="s">
        <v>195</v>
      </c>
      <c r="B44" s="13"/>
      <c r="C44" s="13"/>
      <c r="D44" s="13"/>
      <c r="E44" s="13"/>
      <c r="F44" s="13"/>
      <c r="G44" s="13"/>
      <c r="H44" s="13"/>
      <c r="I44" s="13"/>
      <c r="J44" s="13"/>
      <c r="K44" s="13"/>
      <c r="L44" s="13"/>
      <c r="M44" s="15"/>
      <c r="N44" s="15"/>
      <c r="O44" s="15"/>
      <c r="P44" s="15"/>
      <c r="Q44" s="15"/>
      <c r="R44" s="16" t="str">
        <f>IF(COUNT(M44:Q44)&lt;5,"",(M44*Summary!$F$5+N44*Summary!$F$6+O44*Summary!$F$7+P44*Summary!$F$8+Q44*Summary!$F$9)/Summary!$F$10)</f>
        <v/>
      </c>
      <c r="S44" s="17" t="str">
        <f t="shared" si="1"/>
        <v/>
      </c>
      <c r="T44" s="17" t="str">
        <f>IF(S44="","",IF(S44&lt;=Summary!$B$5,"Featured candidate",""))</f>
        <v/>
      </c>
    </row>
    <row r="45" ht="14.25" customHeight="1">
      <c r="A45" s="8" t="s">
        <v>196</v>
      </c>
      <c r="B45" s="13"/>
      <c r="C45" s="13"/>
      <c r="D45" s="13"/>
      <c r="E45" s="13"/>
      <c r="F45" s="13"/>
      <c r="G45" s="13"/>
      <c r="H45" s="13"/>
      <c r="I45" s="13"/>
      <c r="J45" s="13"/>
      <c r="K45" s="13"/>
      <c r="L45" s="13"/>
      <c r="M45" s="15"/>
      <c r="N45" s="15"/>
      <c r="O45" s="15"/>
      <c r="P45" s="15"/>
      <c r="Q45" s="15"/>
      <c r="R45" s="16" t="str">
        <f>IF(COUNT(M45:Q45)&lt;5,"",(M45*Summary!$F$5+N45*Summary!$F$6+O45*Summary!$F$7+P45*Summary!$F$8+Q45*Summary!$F$9)/Summary!$F$10)</f>
        <v/>
      </c>
      <c r="S45" s="17" t="str">
        <f t="shared" si="1"/>
        <v/>
      </c>
      <c r="T45" s="17" t="str">
        <f>IF(S45="","",IF(S45&lt;=Summary!$B$5,"Featured candidate",""))</f>
        <v/>
      </c>
    </row>
    <row r="46" ht="14.25" customHeight="1">
      <c r="A46" s="8" t="s">
        <v>197</v>
      </c>
      <c r="B46" s="13"/>
      <c r="C46" s="13"/>
      <c r="D46" s="13"/>
      <c r="E46" s="13"/>
      <c r="F46" s="13"/>
      <c r="G46" s="13"/>
      <c r="H46" s="13"/>
      <c r="I46" s="13"/>
      <c r="J46" s="13"/>
      <c r="K46" s="13"/>
      <c r="L46" s="13"/>
      <c r="M46" s="15"/>
      <c r="N46" s="15"/>
      <c r="O46" s="15"/>
      <c r="P46" s="15"/>
      <c r="Q46" s="15"/>
      <c r="R46" s="16" t="str">
        <f>IF(COUNT(M46:Q46)&lt;5,"",(M46*Summary!$F$5+N46*Summary!$F$6+O46*Summary!$F$7+P46*Summary!$F$8+Q46*Summary!$F$9)/Summary!$F$10)</f>
        <v/>
      </c>
      <c r="S46" s="17" t="str">
        <f t="shared" si="1"/>
        <v/>
      </c>
      <c r="T46" s="17" t="str">
        <f>IF(S46="","",IF(S46&lt;=Summary!$B$5,"Featured candidate",""))</f>
        <v/>
      </c>
    </row>
    <row r="47" ht="14.25" customHeight="1">
      <c r="A47" s="8" t="s">
        <v>198</v>
      </c>
      <c r="B47" s="13"/>
      <c r="C47" s="13"/>
      <c r="D47" s="13"/>
      <c r="E47" s="13"/>
      <c r="F47" s="13"/>
      <c r="G47" s="13"/>
      <c r="H47" s="13"/>
      <c r="I47" s="13"/>
      <c r="J47" s="13"/>
      <c r="K47" s="13"/>
      <c r="L47" s="13"/>
      <c r="M47" s="15"/>
      <c r="N47" s="15"/>
      <c r="O47" s="15"/>
      <c r="P47" s="15"/>
      <c r="Q47" s="15"/>
      <c r="R47" s="16" t="str">
        <f>IF(COUNT(M47:Q47)&lt;5,"",(M47*Summary!$F$5+N47*Summary!$F$6+O47*Summary!$F$7+P47*Summary!$F$8+Q47*Summary!$F$9)/Summary!$F$10)</f>
        <v/>
      </c>
      <c r="S47" s="17" t="str">
        <f t="shared" si="1"/>
        <v/>
      </c>
      <c r="T47" s="17" t="str">
        <f>IF(S47="","",IF(S47&lt;=Summary!$B$5,"Featured candidate",""))</f>
        <v/>
      </c>
    </row>
    <row r="48" ht="14.25" customHeight="1">
      <c r="A48" s="8" t="s">
        <v>199</v>
      </c>
      <c r="B48" s="13"/>
      <c r="C48" s="13"/>
      <c r="D48" s="13"/>
      <c r="E48" s="13"/>
      <c r="F48" s="13"/>
      <c r="G48" s="13"/>
      <c r="H48" s="13"/>
      <c r="I48" s="13"/>
      <c r="J48" s="13"/>
      <c r="K48" s="13"/>
      <c r="L48" s="13"/>
      <c r="M48" s="15"/>
      <c r="N48" s="15"/>
      <c r="O48" s="15"/>
      <c r="P48" s="15"/>
      <c r="Q48" s="15"/>
      <c r="R48" s="16" t="str">
        <f>IF(COUNT(M48:Q48)&lt;5,"",(M48*Summary!$F$5+N48*Summary!$F$6+O48*Summary!$F$7+P48*Summary!$F$8+Q48*Summary!$F$9)/Summary!$F$10)</f>
        <v/>
      </c>
      <c r="S48" s="17" t="str">
        <f t="shared" si="1"/>
        <v/>
      </c>
      <c r="T48" s="17" t="str">
        <f>IF(S48="","",IF(S48&lt;=Summary!$B$5,"Featured candidate",""))</f>
        <v/>
      </c>
    </row>
    <row r="49" ht="14.25" customHeight="1">
      <c r="A49" s="8" t="s">
        <v>200</v>
      </c>
      <c r="B49" s="13"/>
      <c r="C49" s="13"/>
      <c r="D49" s="13"/>
      <c r="E49" s="13"/>
      <c r="F49" s="13"/>
      <c r="G49" s="13"/>
      <c r="H49" s="13"/>
      <c r="I49" s="13"/>
      <c r="J49" s="13"/>
      <c r="K49" s="13"/>
      <c r="L49" s="13"/>
      <c r="M49" s="15"/>
      <c r="N49" s="15"/>
      <c r="O49" s="15"/>
      <c r="P49" s="15"/>
      <c r="Q49" s="15"/>
      <c r="R49" s="16" t="str">
        <f>IF(COUNT(M49:Q49)&lt;5,"",(M49*Summary!$F$5+N49*Summary!$F$6+O49*Summary!$F$7+P49*Summary!$F$8+Q49*Summary!$F$9)/Summary!$F$10)</f>
        <v/>
      </c>
      <c r="S49" s="17" t="str">
        <f t="shared" si="1"/>
        <v/>
      </c>
      <c r="T49" s="17" t="str">
        <f>IF(S49="","",IF(S49&lt;=Summary!$B$5,"Featured candidate",""))</f>
        <v/>
      </c>
    </row>
    <row r="50" ht="14.25" customHeight="1">
      <c r="A50" s="8" t="s">
        <v>201</v>
      </c>
      <c r="B50" s="13"/>
      <c r="C50" s="13"/>
      <c r="D50" s="13"/>
      <c r="E50" s="13"/>
      <c r="F50" s="13"/>
      <c r="G50" s="13"/>
      <c r="H50" s="13"/>
      <c r="I50" s="13"/>
      <c r="J50" s="13"/>
      <c r="K50" s="13"/>
      <c r="L50" s="13"/>
      <c r="M50" s="15"/>
      <c r="N50" s="15"/>
      <c r="O50" s="15"/>
      <c r="P50" s="15"/>
      <c r="Q50" s="15"/>
      <c r="R50" s="16" t="str">
        <f>IF(COUNT(M50:Q50)&lt;5,"",(M50*Summary!$F$5+N50*Summary!$F$6+O50*Summary!$F$7+P50*Summary!$F$8+Q50*Summary!$F$9)/Summary!$F$10)</f>
        <v/>
      </c>
      <c r="S50" s="17" t="str">
        <f t="shared" si="1"/>
        <v/>
      </c>
      <c r="T50" s="17" t="str">
        <f>IF(S50="","",IF(S50&lt;=Summary!$B$5,"Featured candidate",""))</f>
        <v/>
      </c>
    </row>
    <row r="51" ht="14.25" customHeight="1">
      <c r="A51" s="8" t="s">
        <v>202</v>
      </c>
      <c r="B51" s="13"/>
      <c r="C51" s="13"/>
      <c r="D51" s="13"/>
      <c r="E51" s="13"/>
      <c r="F51" s="13"/>
      <c r="G51" s="13"/>
      <c r="H51" s="13"/>
      <c r="I51" s="13"/>
      <c r="J51" s="13"/>
      <c r="K51" s="13"/>
      <c r="L51" s="13"/>
      <c r="M51" s="15"/>
      <c r="N51" s="15"/>
      <c r="O51" s="15"/>
      <c r="P51" s="15"/>
      <c r="Q51" s="15"/>
      <c r="R51" s="16" t="str">
        <f>IF(COUNT(M51:Q51)&lt;5,"",(M51*Summary!$F$5+N51*Summary!$F$6+O51*Summary!$F$7+P51*Summary!$F$8+Q51*Summary!$F$9)/Summary!$F$10)</f>
        <v/>
      </c>
      <c r="S51" s="17" t="str">
        <f t="shared" si="1"/>
        <v/>
      </c>
      <c r="T51" s="17" t="str">
        <f>IF(S51="","",IF(S51&lt;=Summary!$B$5,"Featured candidate",""))</f>
        <v/>
      </c>
    </row>
    <row r="52" ht="14.25" customHeight="1">
      <c r="A52" s="8" t="s">
        <v>203</v>
      </c>
      <c r="B52" s="13"/>
      <c r="C52" s="13"/>
      <c r="D52" s="13"/>
      <c r="E52" s="13"/>
      <c r="F52" s="13"/>
      <c r="G52" s="13"/>
      <c r="H52" s="13"/>
      <c r="I52" s="13"/>
      <c r="J52" s="13"/>
      <c r="K52" s="13"/>
      <c r="L52" s="13"/>
      <c r="M52" s="15"/>
      <c r="N52" s="15"/>
      <c r="O52" s="15"/>
      <c r="P52" s="15"/>
      <c r="Q52" s="15"/>
      <c r="R52" s="16" t="str">
        <f>IF(COUNT(M52:Q52)&lt;5,"",(M52*Summary!$F$5+N52*Summary!$F$6+O52*Summary!$F$7+P52*Summary!$F$8+Q52*Summary!$F$9)/Summary!$F$10)</f>
        <v/>
      </c>
      <c r="S52" s="17" t="str">
        <f t="shared" si="1"/>
        <v/>
      </c>
      <c r="T52" s="17" t="str">
        <f>IF(S52="","",IF(S52&lt;=Summary!$B$5,"Featured candidate",""))</f>
        <v/>
      </c>
    </row>
    <row r="53" ht="14.25" customHeight="1">
      <c r="A53" s="8" t="s">
        <v>204</v>
      </c>
      <c r="B53" s="13"/>
      <c r="C53" s="13"/>
      <c r="D53" s="13"/>
      <c r="E53" s="13"/>
      <c r="F53" s="13"/>
      <c r="G53" s="13"/>
      <c r="H53" s="13"/>
      <c r="I53" s="13"/>
      <c r="J53" s="13"/>
      <c r="K53" s="13"/>
      <c r="L53" s="13"/>
      <c r="M53" s="15"/>
      <c r="N53" s="15"/>
      <c r="O53" s="15"/>
      <c r="P53" s="15"/>
      <c r="Q53" s="15"/>
      <c r="R53" s="16" t="str">
        <f>IF(COUNT(M53:Q53)&lt;5,"",(M53*Summary!$F$5+N53*Summary!$F$6+O53*Summary!$F$7+P53*Summary!$F$8+Q53*Summary!$F$9)/Summary!$F$10)</f>
        <v/>
      </c>
      <c r="S53" s="17" t="str">
        <f t="shared" si="1"/>
        <v/>
      </c>
      <c r="T53" s="17" t="str">
        <f>IF(S53="","",IF(S53&lt;=Summary!$B$5,"Featured candidate",""))</f>
        <v/>
      </c>
    </row>
    <row r="54" ht="14.25" customHeight="1">
      <c r="A54" s="8" t="s">
        <v>205</v>
      </c>
      <c r="B54" s="13"/>
      <c r="C54" s="13"/>
      <c r="D54" s="13"/>
      <c r="E54" s="13"/>
      <c r="F54" s="13"/>
      <c r="G54" s="13"/>
      <c r="H54" s="13"/>
      <c r="I54" s="13"/>
      <c r="J54" s="13"/>
      <c r="K54" s="13"/>
      <c r="L54" s="13"/>
      <c r="M54" s="15"/>
      <c r="N54" s="15"/>
      <c r="O54" s="15"/>
      <c r="P54" s="15"/>
      <c r="Q54" s="15"/>
      <c r="R54" s="16" t="str">
        <f>IF(COUNT(M54:Q54)&lt;5,"",(M54*Summary!$F$5+N54*Summary!$F$6+O54*Summary!$F$7+P54*Summary!$F$8+Q54*Summary!$F$9)/Summary!$F$10)</f>
        <v/>
      </c>
      <c r="S54" s="17" t="str">
        <f t="shared" si="1"/>
        <v/>
      </c>
      <c r="T54" s="17" t="str">
        <f>IF(S54="","",IF(S54&lt;=Summary!$B$5,"Featured candidate",""))</f>
        <v/>
      </c>
    </row>
    <row r="55" ht="14.25" customHeight="1">
      <c r="A55" s="8" t="s">
        <v>206</v>
      </c>
      <c r="B55" s="13"/>
      <c r="C55" s="13"/>
      <c r="D55" s="13"/>
      <c r="E55" s="13"/>
      <c r="F55" s="13"/>
      <c r="G55" s="13"/>
      <c r="H55" s="13"/>
      <c r="I55" s="13"/>
      <c r="J55" s="13"/>
      <c r="K55" s="13"/>
      <c r="L55" s="13"/>
      <c r="M55" s="15"/>
      <c r="N55" s="15"/>
      <c r="O55" s="15"/>
      <c r="P55" s="15"/>
      <c r="Q55" s="15"/>
      <c r="R55" s="16" t="str">
        <f>IF(COUNT(M55:Q55)&lt;5,"",(M55*Summary!$F$5+N55*Summary!$F$6+O55*Summary!$F$7+P55*Summary!$F$8+Q55*Summary!$F$9)/Summary!$F$10)</f>
        <v/>
      </c>
      <c r="S55" s="17" t="str">
        <f t="shared" si="1"/>
        <v/>
      </c>
      <c r="T55" s="17" t="str">
        <f>IF(S55="","",IF(S55&lt;=Summary!$B$5,"Featured candidate",""))</f>
        <v/>
      </c>
    </row>
    <row r="56" ht="14.25" customHeight="1">
      <c r="A56" s="8" t="s">
        <v>207</v>
      </c>
      <c r="B56" s="13"/>
      <c r="C56" s="13"/>
      <c r="D56" s="13"/>
      <c r="E56" s="13"/>
      <c r="F56" s="13"/>
      <c r="G56" s="13"/>
      <c r="H56" s="13"/>
      <c r="I56" s="13"/>
      <c r="J56" s="13"/>
      <c r="K56" s="13"/>
      <c r="L56" s="13"/>
      <c r="M56" s="15"/>
      <c r="N56" s="15"/>
      <c r="O56" s="15"/>
      <c r="P56" s="15"/>
      <c r="Q56" s="15"/>
      <c r="R56" s="16" t="str">
        <f>IF(COUNT(M56:Q56)&lt;5,"",(M56*Summary!$F$5+N56*Summary!$F$6+O56*Summary!$F$7+P56*Summary!$F$8+Q56*Summary!$F$9)/Summary!$F$10)</f>
        <v/>
      </c>
      <c r="S56" s="17" t="str">
        <f t="shared" si="1"/>
        <v/>
      </c>
      <c r="T56" s="17" t="str">
        <f>IF(S56="","",IF(S56&lt;=Summary!$B$5,"Featured candidate",""))</f>
        <v/>
      </c>
    </row>
    <row r="57" ht="14.25" customHeight="1">
      <c r="A57" s="8" t="s">
        <v>208</v>
      </c>
      <c r="B57" s="13"/>
      <c r="C57" s="13"/>
      <c r="D57" s="13"/>
      <c r="E57" s="13"/>
      <c r="F57" s="13"/>
      <c r="G57" s="13"/>
      <c r="H57" s="13"/>
      <c r="I57" s="13"/>
      <c r="J57" s="13"/>
      <c r="K57" s="13"/>
      <c r="L57" s="13"/>
      <c r="M57" s="15"/>
      <c r="N57" s="15"/>
      <c r="O57" s="15"/>
      <c r="P57" s="15"/>
      <c r="Q57" s="15"/>
      <c r="R57" s="16" t="str">
        <f>IF(COUNT(M57:Q57)&lt;5,"",(M57*Summary!$F$5+N57*Summary!$F$6+O57*Summary!$F$7+P57*Summary!$F$8+Q57*Summary!$F$9)/Summary!$F$10)</f>
        <v/>
      </c>
      <c r="S57" s="17" t="str">
        <f t="shared" si="1"/>
        <v/>
      </c>
      <c r="T57" s="17" t="str">
        <f>IF(S57="","",IF(S57&lt;=Summary!$B$5,"Featured candidate",""))</f>
        <v/>
      </c>
    </row>
    <row r="58" ht="14.25" customHeight="1">
      <c r="A58" s="8" t="s">
        <v>209</v>
      </c>
      <c r="B58" s="13"/>
      <c r="C58" s="13"/>
      <c r="D58" s="13"/>
      <c r="E58" s="13"/>
      <c r="F58" s="13"/>
      <c r="G58" s="13"/>
      <c r="H58" s="13"/>
      <c r="I58" s="13"/>
      <c r="J58" s="13"/>
      <c r="K58" s="13"/>
      <c r="L58" s="13"/>
      <c r="M58" s="15"/>
      <c r="N58" s="15"/>
      <c r="O58" s="15"/>
      <c r="P58" s="15"/>
      <c r="Q58" s="15"/>
      <c r="R58" s="16" t="str">
        <f>IF(COUNT(M58:Q58)&lt;5,"",(M58*Summary!$F$5+N58*Summary!$F$6+O58*Summary!$F$7+P58*Summary!$F$8+Q58*Summary!$F$9)/Summary!$F$10)</f>
        <v/>
      </c>
      <c r="S58" s="17" t="str">
        <f t="shared" si="1"/>
        <v/>
      </c>
      <c r="T58" s="17" t="str">
        <f>IF(S58="","",IF(S58&lt;=Summary!$B$5,"Featured candidate",""))</f>
        <v/>
      </c>
    </row>
    <row r="59" ht="14.25" customHeight="1">
      <c r="A59" s="8" t="s">
        <v>210</v>
      </c>
      <c r="B59" s="13"/>
      <c r="C59" s="13"/>
      <c r="D59" s="13"/>
      <c r="E59" s="13"/>
      <c r="F59" s="13"/>
      <c r="G59" s="13"/>
      <c r="H59" s="13"/>
      <c r="I59" s="13"/>
      <c r="J59" s="13"/>
      <c r="K59" s="13"/>
      <c r="L59" s="13"/>
      <c r="M59" s="15"/>
      <c r="N59" s="15"/>
      <c r="O59" s="15"/>
      <c r="P59" s="15"/>
      <c r="Q59" s="15"/>
      <c r="R59" s="16" t="str">
        <f>IF(COUNT(M59:Q59)&lt;5,"",(M59*Summary!$F$5+N59*Summary!$F$6+O59*Summary!$F$7+P59*Summary!$F$8+Q59*Summary!$F$9)/Summary!$F$10)</f>
        <v/>
      </c>
      <c r="S59" s="17" t="str">
        <f t="shared" si="1"/>
        <v/>
      </c>
      <c r="T59" s="17" t="str">
        <f>IF(S59="","",IF(S59&lt;=Summary!$B$5,"Featured candidate",""))</f>
        <v/>
      </c>
    </row>
    <row r="60" ht="14.25" customHeight="1">
      <c r="A60" s="8" t="s">
        <v>211</v>
      </c>
      <c r="B60" s="13"/>
      <c r="C60" s="13"/>
      <c r="D60" s="13"/>
      <c r="E60" s="13"/>
      <c r="F60" s="13"/>
      <c r="G60" s="13"/>
      <c r="H60" s="13"/>
      <c r="I60" s="13"/>
      <c r="J60" s="13"/>
      <c r="K60" s="13"/>
      <c r="L60" s="13"/>
      <c r="M60" s="15"/>
      <c r="N60" s="15"/>
      <c r="O60" s="15"/>
      <c r="P60" s="15"/>
      <c r="Q60" s="15"/>
      <c r="R60" s="16" t="str">
        <f>IF(COUNT(M60:Q60)&lt;5,"",(M60*Summary!$F$5+N60*Summary!$F$6+O60*Summary!$F$7+P60*Summary!$F$8+Q60*Summary!$F$9)/Summary!$F$10)</f>
        <v/>
      </c>
      <c r="S60" s="17" t="str">
        <f t="shared" si="1"/>
        <v/>
      </c>
      <c r="T60" s="17" t="str">
        <f>IF(S60="","",IF(S60&lt;=Summary!$B$5,"Featured candidate",""))</f>
        <v/>
      </c>
    </row>
    <row r="61" ht="14.25" customHeight="1">
      <c r="A61" s="8" t="s">
        <v>212</v>
      </c>
      <c r="B61" s="13"/>
      <c r="C61" s="13"/>
      <c r="D61" s="13"/>
      <c r="E61" s="13"/>
      <c r="F61" s="13"/>
      <c r="G61" s="13"/>
      <c r="H61" s="13"/>
      <c r="I61" s="13"/>
      <c r="J61" s="13"/>
      <c r="K61" s="13"/>
      <c r="L61" s="13"/>
      <c r="M61" s="15"/>
      <c r="N61" s="15"/>
      <c r="O61" s="15"/>
      <c r="P61" s="15"/>
      <c r="Q61" s="15"/>
      <c r="R61" s="16" t="str">
        <f>IF(COUNT(M61:Q61)&lt;5,"",(M61*Summary!$F$5+N61*Summary!$F$6+O61*Summary!$F$7+P61*Summary!$F$8+Q61*Summary!$F$9)/Summary!$F$10)</f>
        <v/>
      </c>
      <c r="S61" s="17" t="str">
        <f t="shared" si="1"/>
        <v/>
      </c>
      <c r="T61" s="17" t="str">
        <f>IF(S61="","",IF(S61&lt;=Summary!$B$5,"Featured candidate",""))</f>
        <v/>
      </c>
    </row>
    <row r="62" ht="14.25" customHeight="1">
      <c r="A62" s="8" t="s">
        <v>213</v>
      </c>
      <c r="B62" s="13"/>
      <c r="C62" s="13"/>
      <c r="D62" s="13"/>
      <c r="E62" s="13"/>
      <c r="F62" s="13"/>
      <c r="G62" s="13"/>
      <c r="H62" s="13"/>
      <c r="I62" s="13"/>
      <c r="J62" s="13"/>
      <c r="K62" s="13"/>
      <c r="L62" s="13"/>
      <c r="M62" s="15"/>
      <c r="N62" s="15"/>
      <c r="O62" s="15"/>
      <c r="P62" s="15"/>
      <c r="Q62" s="15"/>
      <c r="R62" s="16" t="str">
        <f>IF(COUNT(M62:Q62)&lt;5,"",(M62*Summary!$F$5+N62*Summary!$F$6+O62*Summary!$F$7+P62*Summary!$F$8+Q62*Summary!$F$9)/Summary!$F$10)</f>
        <v/>
      </c>
      <c r="S62" s="17" t="str">
        <f t="shared" si="1"/>
        <v/>
      </c>
      <c r="T62" s="17" t="str">
        <f>IF(S62="","",IF(S62&lt;=Summary!$B$5,"Featured candidate",""))</f>
        <v/>
      </c>
    </row>
    <row r="63" ht="14.25" customHeight="1">
      <c r="A63" s="8" t="s">
        <v>214</v>
      </c>
      <c r="B63" s="13"/>
      <c r="C63" s="13"/>
      <c r="D63" s="13"/>
      <c r="E63" s="13"/>
      <c r="F63" s="13"/>
      <c r="G63" s="13"/>
      <c r="H63" s="13"/>
      <c r="I63" s="13"/>
      <c r="J63" s="13"/>
      <c r="K63" s="13"/>
      <c r="L63" s="13"/>
      <c r="M63" s="15"/>
      <c r="N63" s="15"/>
      <c r="O63" s="15"/>
      <c r="P63" s="15"/>
      <c r="Q63" s="15"/>
      <c r="R63" s="16" t="str">
        <f>IF(COUNT(M63:Q63)&lt;5,"",(M63*Summary!$F$5+N63*Summary!$F$6+O63*Summary!$F$7+P63*Summary!$F$8+Q63*Summary!$F$9)/Summary!$F$10)</f>
        <v/>
      </c>
      <c r="S63" s="17" t="str">
        <f t="shared" si="1"/>
        <v/>
      </c>
      <c r="T63" s="17" t="str">
        <f>IF(S63="","",IF(S63&lt;=Summary!$B$5,"Featured candidate",""))</f>
        <v/>
      </c>
    </row>
    <row r="64" ht="14.25" customHeight="1">
      <c r="A64" s="8" t="s">
        <v>215</v>
      </c>
      <c r="B64" s="13"/>
      <c r="C64" s="13"/>
      <c r="D64" s="13"/>
      <c r="E64" s="13"/>
      <c r="F64" s="13"/>
      <c r="G64" s="13"/>
      <c r="H64" s="13"/>
      <c r="I64" s="13"/>
      <c r="J64" s="13"/>
      <c r="K64" s="13"/>
      <c r="L64" s="13"/>
      <c r="M64" s="15"/>
      <c r="N64" s="15"/>
      <c r="O64" s="15"/>
      <c r="P64" s="15"/>
      <c r="Q64" s="15"/>
      <c r="R64" s="16" t="str">
        <f>IF(COUNT(M64:Q64)&lt;5,"",(M64*Summary!$F$5+N64*Summary!$F$6+O64*Summary!$F$7+P64*Summary!$F$8+Q64*Summary!$F$9)/Summary!$F$10)</f>
        <v/>
      </c>
      <c r="S64" s="17" t="str">
        <f t="shared" si="1"/>
        <v/>
      </c>
      <c r="T64" s="17" t="str">
        <f>IF(S64="","",IF(S64&lt;=Summary!$B$5,"Featured candidate",""))</f>
        <v/>
      </c>
    </row>
    <row r="65" ht="14.25" customHeight="1">
      <c r="A65" s="8" t="s">
        <v>216</v>
      </c>
      <c r="B65" s="13"/>
      <c r="C65" s="13"/>
      <c r="D65" s="13"/>
      <c r="E65" s="13"/>
      <c r="F65" s="13"/>
      <c r="G65" s="13"/>
      <c r="H65" s="13"/>
      <c r="I65" s="13"/>
      <c r="J65" s="13"/>
      <c r="K65" s="13"/>
      <c r="L65" s="13"/>
      <c r="M65" s="15"/>
      <c r="N65" s="15"/>
      <c r="O65" s="15"/>
      <c r="P65" s="15"/>
      <c r="Q65" s="15"/>
      <c r="R65" s="16" t="str">
        <f>IF(COUNT(M65:Q65)&lt;5,"",(M65*Summary!$F$5+N65*Summary!$F$6+O65*Summary!$F$7+P65*Summary!$F$8+Q65*Summary!$F$9)/Summary!$F$10)</f>
        <v/>
      </c>
      <c r="S65" s="17" t="str">
        <f t="shared" si="1"/>
        <v/>
      </c>
      <c r="T65" s="17" t="str">
        <f>IF(S65="","",IF(S65&lt;=Summary!$B$5,"Featured candidate",""))</f>
        <v/>
      </c>
    </row>
    <row r="66" ht="14.25" customHeight="1">
      <c r="A66" s="8" t="s">
        <v>217</v>
      </c>
      <c r="B66" s="13"/>
      <c r="C66" s="13"/>
      <c r="D66" s="13"/>
      <c r="E66" s="13"/>
      <c r="F66" s="13"/>
      <c r="G66" s="13"/>
      <c r="H66" s="13"/>
      <c r="I66" s="13"/>
      <c r="J66" s="13"/>
      <c r="K66" s="13"/>
      <c r="L66" s="13"/>
      <c r="M66" s="15"/>
      <c r="N66" s="15"/>
      <c r="O66" s="15"/>
      <c r="P66" s="15"/>
      <c r="Q66" s="15"/>
      <c r="R66" s="16" t="str">
        <f>IF(COUNT(M66:Q66)&lt;5,"",(M66*Summary!$F$5+N66*Summary!$F$6+O66*Summary!$F$7+P66*Summary!$F$8+Q66*Summary!$F$9)/Summary!$F$10)</f>
        <v/>
      </c>
      <c r="S66" s="17" t="str">
        <f t="shared" si="1"/>
        <v/>
      </c>
      <c r="T66" s="17" t="str">
        <f>IF(S66="","",IF(S66&lt;=Summary!$B$5,"Featured candidate",""))</f>
        <v/>
      </c>
    </row>
    <row r="67" ht="14.25" customHeight="1">
      <c r="A67" s="8" t="s">
        <v>218</v>
      </c>
      <c r="B67" s="13"/>
      <c r="C67" s="13"/>
      <c r="D67" s="13"/>
      <c r="E67" s="13"/>
      <c r="F67" s="13"/>
      <c r="G67" s="13"/>
      <c r="H67" s="13"/>
      <c r="I67" s="13"/>
      <c r="J67" s="13"/>
      <c r="K67" s="13"/>
      <c r="L67" s="13"/>
      <c r="M67" s="15"/>
      <c r="N67" s="15"/>
      <c r="O67" s="15"/>
      <c r="P67" s="15"/>
      <c r="Q67" s="15"/>
      <c r="R67" s="16" t="str">
        <f>IF(COUNT(M67:Q67)&lt;5,"",(M67*Summary!$F$5+N67*Summary!$F$6+O67*Summary!$F$7+P67*Summary!$F$8+Q67*Summary!$F$9)/Summary!$F$10)</f>
        <v/>
      </c>
      <c r="S67" s="17" t="str">
        <f t="shared" si="1"/>
        <v/>
      </c>
      <c r="T67" s="17" t="str">
        <f>IF(S67="","",IF(S67&lt;=Summary!$B$5,"Featured candidate",""))</f>
        <v/>
      </c>
    </row>
    <row r="68" ht="14.25" customHeight="1">
      <c r="A68" s="8" t="s">
        <v>219</v>
      </c>
      <c r="B68" s="13"/>
      <c r="C68" s="13"/>
      <c r="D68" s="13"/>
      <c r="E68" s="13"/>
      <c r="F68" s="13"/>
      <c r="G68" s="13"/>
      <c r="H68" s="13"/>
      <c r="I68" s="13"/>
      <c r="J68" s="13"/>
      <c r="K68" s="13"/>
      <c r="L68" s="13"/>
      <c r="M68" s="15"/>
      <c r="N68" s="15"/>
      <c r="O68" s="15"/>
      <c r="P68" s="15"/>
      <c r="Q68" s="15"/>
      <c r="R68" s="16" t="str">
        <f>IF(COUNT(M68:Q68)&lt;5,"",(M68*Summary!$F$5+N68*Summary!$F$6+O68*Summary!$F$7+P68*Summary!$F$8+Q68*Summary!$F$9)/Summary!$F$10)</f>
        <v/>
      </c>
      <c r="S68" s="17" t="str">
        <f t="shared" si="1"/>
        <v/>
      </c>
      <c r="T68" s="17" t="str">
        <f>IF(S68="","",IF(S68&lt;=Summary!$B$5,"Featured candidate",""))</f>
        <v/>
      </c>
    </row>
    <row r="69" ht="14.25" customHeight="1">
      <c r="A69" s="8" t="s">
        <v>220</v>
      </c>
      <c r="B69" s="13"/>
      <c r="C69" s="13"/>
      <c r="D69" s="13"/>
      <c r="E69" s="13"/>
      <c r="F69" s="13"/>
      <c r="G69" s="13"/>
      <c r="H69" s="13"/>
      <c r="I69" s="13"/>
      <c r="J69" s="13"/>
      <c r="K69" s="13"/>
      <c r="L69" s="13"/>
      <c r="M69" s="15"/>
      <c r="N69" s="15"/>
      <c r="O69" s="15"/>
      <c r="P69" s="15"/>
      <c r="Q69" s="15"/>
      <c r="R69" s="16" t="str">
        <f>IF(COUNT(M69:Q69)&lt;5,"",(M69*Summary!$F$5+N69*Summary!$F$6+O69*Summary!$F$7+P69*Summary!$F$8+Q69*Summary!$F$9)/Summary!$F$10)</f>
        <v/>
      </c>
      <c r="S69" s="17" t="str">
        <f t="shared" si="1"/>
        <v/>
      </c>
      <c r="T69" s="17" t="str">
        <f>IF(S69="","",IF(S69&lt;=Summary!$B$5,"Featured candidate",""))</f>
        <v/>
      </c>
    </row>
    <row r="70" ht="14.25" customHeight="1">
      <c r="A70" s="8" t="s">
        <v>221</v>
      </c>
      <c r="B70" s="13"/>
      <c r="C70" s="13"/>
      <c r="D70" s="13"/>
      <c r="E70" s="13"/>
      <c r="F70" s="13"/>
      <c r="G70" s="13"/>
      <c r="H70" s="13"/>
      <c r="I70" s="13"/>
      <c r="J70" s="13"/>
      <c r="K70" s="13"/>
      <c r="L70" s="13"/>
      <c r="M70" s="15"/>
      <c r="N70" s="15"/>
      <c r="O70" s="15"/>
      <c r="P70" s="15"/>
      <c r="Q70" s="15"/>
      <c r="R70" s="16" t="str">
        <f>IF(COUNT(M70:Q70)&lt;5,"",(M70*Summary!$F$5+N70*Summary!$F$6+O70*Summary!$F$7+P70*Summary!$F$8+Q70*Summary!$F$9)/Summary!$F$10)</f>
        <v/>
      </c>
      <c r="S70" s="17" t="str">
        <f t="shared" si="1"/>
        <v/>
      </c>
      <c r="T70" s="17" t="str">
        <f>IF(S70="","",IF(S70&lt;=Summary!$B$5,"Featured candidate",""))</f>
        <v/>
      </c>
    </row>
    <row r="71" ht="14.25" customHeight="1">
      <c r="A71" s="8" t="s">
        <v>222</v>
      </c>
      <c r="B71" s="13"/>
      <c r="C71" s="13"/>
      <c r="D71" s="13"/>
      <c r="E71" s="13"/>
      <c r="F71" s="13"/>
      <c r="G71" s="13"/>
      <c r="H71" s="13"/>
      <c r="I71" s="13"/>
      <c r="J71" s="13"/>
      <c r="K71" s="13"/>
      <c r="L71" s="13"/>
      <c r="M71" s="15"/>
      <c r="N71" s="15"/>
      <c r="O71" s="15"/>
      <c r="P71" s="15"/>
      <c r="Q71" s="15"/>
      <c r="R71" s="16" t="str">
        <f>IF(COUNT(M71:Q71)&lt;5,"",(M71*Summary!$F$5+N71*Summary!$F$6+O71*Summary!$F$7+P71*Summary!$F$8+Q71*Summary!$F$9)/Summary!$F$10)</f>
        <v/>
      </c>
      <c r="S71" s="17" t="str">
        <f t="shared" si="1"/>
        <v/>
      </c>
      <c r="T71" s="17" t="str">
        <f>IF(S71="","",IF(S71&lt;=Summary!$B$5,"Featured candidate",""))</f>
        <v/>
      </c>
    </row>
    <row r="72" ht="14.25" customHeight="1">
      <c r="A72" s="8" t="s">
        <v>223</v>
      </c>
      <c r="B72" s="13"/>
      <c r="C72" s="13"/>
      <c r="D72" s="13"/>
      <c r="E72" s="13"/>
      <c r="F72" s="13"/>
      <c r="G72" s="13"/>
      <c r="H72" s="13"/>
      <c r="I72" s="13"/>
      <c r="J72" s="13"/>
      <c r="K72" s="13"/>
      <c r="L72" s="13"/>
      <c r="M72" s="15"/>
      <c r="N72" s="15"/>
      <c r="O72" s="15"/>
      <c r="P72" s="15"/>
      <c r="Q72" s="15"/>
      <c r="R72" s="16" t="str">
        <f>IF(COUNT(M72:Q72)&lt;5,"",(M72*Summary!$F$5+N72*Summary!$F$6+O72*Summary!$F$7+P72*Summary!$F$8+Q72*Summary!$F$9)/Summary!$F$10)</f>
        <v/>
      </c>
      <c r="S72" s="17" t="str">
        <f t="shared" si="1"/>
        <v/>
      </c>
      <c r="T72" s="17" t="str">
        <f>IF(S72="","",IF(S72&lt;=Summary!$B$5,"Featured candidate",""))</f>
        <v/>
      </c>
    </row>
    <row r="73" ht="14.25" customHeight="1">
      <c r="A73" s="8" t="s">
        <v>224</v>
      </c>
      <c r="B73" s="13"/>
      <c r="C73" s="13"/>
      <c r="D73" s="13"/>
      <c r="E73" s="13"/>
      <c r="F73" s="13"/>
      <c r="G73" s="13"/>
      <c r="H73" s="13"/>
      <c r="I73" s="13"/>
      <c r="J73" s="13"/>
      <c r="K73" s="13"/>
      <c r="L73" s="13"/>
      <c r="M73" s="15"/>
      <c r="N73" s="15"/>
      <c r="O73" s="15"/>
      <c r="P73" s="15"/>
      <c r="Q73" s="15"/>
      <c r="R73" s="16" t="str">
        <f>IF(COUNT(M73:Q73)&lt;5,"",(M73*Summary!$F$5+N73*Summary!$F$6+O73*Summary!$F$7+P73*Summary!$F$8+Q73*Summary!$F$9)/Summary!$F$10)</f>
        <v/>
      </c>
      <c r="S73" s="17" t="str">
        <f t="shared" si="1"/>
        <v/>
      </c>
      <c r="T73" s="17" t="str">
        <f>IF(S73="","",IF(S73&lt;=Summary!$B$5,"Featured candidate",""))</f>
        <v/>
      </c>
    </row>
    <row r="74" ht="14.25" customHeight="1">
      <c r="A74" s="17" t="str">
        <f t="shared" ref="A74:A305" si="2">IF(B74="","","P"&amp;TEXT(ROW()-4,"000"))</f>
        <v/>
      </c>
      <c r="B74" s="13"/>
      <c r="C74" s="13"/>
      <c r="D74" s="13"/>
      <c r="E74" s="13"/>
      <c r="F74" s="13"/>
      <c r="G74" s="13"/>
      <c r="H74" s="13"/>
      <c r="I74" s="13"/>
      <c r="J74" s="13"/>
      <c r="K74" s="13"/>
      <c r="L74" s="13"/>
      <c r="M74" s="15"/>
      <c r="N74" s="15"/>
      <c r="O74" s="15"/>
      <c r="P74" s="15"/>
      <c r="Q74" s="15"/>
      <c r="R74" s="16" t="str">
        <f>IF(COUNT(M74:Q74)&lt;5,"",(M74*Summary!$F$5+N74*Summary!$F$6+O74*Summary!$F$7+P74*Summary!$F$8+Q74*Summary!$F$9)/Summary!$F$10)</f>
        <v/>
      </c>
      <c r="S74" s="17" t="str">
        <f t="shared" si="1"/>
        <v/>
      </c>
      <c r="T74" s="17" t="str">
        <f>IF(S74="","",IF(S74&lt;=Summary!$B$5,"Featured candidate",""))</f>
        <v/>
      </c>
    </row>
    <row r="75" ht="14.25" customHeight="1">
      <c r="A75" s="17" t="str">
        <f t="shared" si="2"/>
        <v/>
      </c>
      <c r="B75" s="13"/>
      <c r="C75" s="13"/>
      <c r="D75" s="13"/>
      <c r="E75" s="13"/>
      <c r="F75" s="13"/>
      <c r="G75" s="13"/>
      <c r="H75" s="13"/>
      <c r="I75" s="13"/>
      <c r="J75" s="13"/>
      <c r="K75" s="13"/>
      <c r="L75" s="13"/>
      <c r="M75" s="15"/>
      <c r="N75" s="15"/>
      <c r="O75" s="15"/>
      <c r="P75" s="15"/>
      <c r="Q75" s="15"/>
      <c r="R75" s="16" t="str">
        <f>IF(COUNT(M75:Q75)&lt;5,"",(M75*Summary!$F$5+N75*Summary!$F$6+O75*Summary!$F$7+P75*Summary!$F$8+Q75*Summary!$F$9)/Summary!$F$10)</f>
        <v/>
      </c>
      <c r="S75" s="17" t="str">
        <f t="shared" si="1"/>
        <v/>
      </c>
      <c r="T75" s="17" t="str">
        <f>IF(S75="","",IF(S75&lt;=Summary!$B$5,"Featured candidate",""))</f>
        <v/>
      </c>
    </row>
    <row r="76" ht="14.25" customHeight="1">
      <c r="A76" s="17" t="str">
        <f t="shared" si="2"/>
        <v/>
      </c>
      <c r="B76" s="13"/>
      <c r="C76" s="13"/>
      <c r="D76" s="13"/>
      <c r="E76" s="13"/>
      <c r="F76" s="13"/>
      <c r="G76" s="13"/>
      <c r="H76" s="13"/>
      <c r="I76" s="13"/>
      <c r="J76" s="13"/>
      <c r="K76" s="13"/>
      <c r="L76" s="13"/>
      <c r="M76" s="15"/>
      <c r="N76" s="15"/>
      <c r="O76" s="15"/>
      <c r="P76" s="15"/>
      <c r="Q76" s="15"/>
      <c r="R76" s="16" t="str">
        <f>IF(COUNT(M76:Q76)&lt;5,"",(M76*Summary!$F$5+N76*Summary!$F$6+O76*Summary!$F$7+P76*Summary!$F$8+Q76*Summary!$F$9)/Summary!$F$10)</f>
        <v/>
      </c>
      <c r="S76" s="17" t="str">
        <f t="shared" si="1"/>
        <v/>
      </c>
      <c r="T76" s="17" t="str">
        <f>IF(S76="","",IF(S76&lt;=Summary!$B$5,"Featured candidate",""))</f>
        <v/>
      </c>
    </row>
    <row r="77" ht="14.25" customHeight="1">
      <c r="A77" s="17" t="str">
        <f t="shared" si="2"/>
        <v/>
      </c>
      <c r="B77" s="13"/>
      <c r="C77" s="13"/>
      <c r="D77" s="13"/>
      <c r="E77" s="13"/>
      <c r="F77" s="13"/>
      <c r="G77" s="13"/>
      <c r="H77" s="13"/>
      <c r="I77" s="13"/>
      <c r="J77" s="13"/>
      <c r="K77" s="13"/>
      <c r="L77" s="13"/>
      <c r="M77" s="15"/>
      <c r="N77" s="15"/>
      <c r="O77" s="15"/>
      <c r="P77" s="15"/>
      <c r="Q77" s="15"/>
      <c r="R77" s="16" t="str">
        <f>IF(COUNT(M77:Q77)&lt;5,"",(M77*Summary!$F$5+N77*Summary!$F$6+O77*Summary!$F$7+P77*Summary!$F$8+Q77*Summary!$F$9)/Summary!$F$10)</f>
        <v/>
      </c>
      <c r="S77" s="17" t="str">
        <f t="shared" si="1"/>
        <v/>
      </c>
      <c r="T77" s="17" t="str">
        <f>IF(S77="","",IF(S77&lt;=Summary!$B$5,"Featured candidate",""))</f>
        <v/>
      </c>
    </row>
    <row r="78" ht="14.25" customHeight="1">
      <c r="A78" s="17" t="str">
        <f t="shared" si="2"/>
        <v/>
      </c>
      <c r="B78" s="13"/>
      <c r="C78" s="13"/>
      <c r="D78" s="13"/>
      <c r="E78" s="13"/>
      <c r="F78" s="13"/>
      <c r="G78" s="13"/>
      <c r="H78" s="13"/>
      <c r="I78" s="13"/>
      <c r="J78" s="13"/>
      <c r="K78" s="13"/>
      <c r="L78" s="13"/>
      <c r="M78" s="15"/>
      <c r="N78" s="15"/>
      <c r="O78" s="15"/>
      <c r="P78" s="15"/>
      <c r="Q78" s="15"/>
      <c r="R78" s="16" t="str">
        <f>IF(COUNT(M78:Q78)&lt;5,"",(M78*Summary!$F$5+N78*Summary!$F$6+O78*Summary!$F$7+P78*Summary!$F$8+Q78*Summary!$F$9)/Summary!$F$10)</f>
        <v/>
      </c>
      <c r="S78" s="17" t="str">
        <f t="shared" si="1"/>
        <v/>
      </c>
      <c r="T78" s="17" t="str">
        <f>IF(S78="","",IF(S78&lt;=Summary!$B$5,"Featured candidate",""))</f>
        <v/>
      </c>
    </row>
    <row r="79" ht="14.25" customHeight="1">
      <c r="A79" s="17" t="str">
        <f t="shared" si="2"/>
        <v/>
      </c>
      <c r="B79" s="13"/>
      <c r="C79" s="13"/>
      <c r="D79" s="13"/>
      <c r="E79" s="13"/>
      <c r="F79" s="13"/>
      <c r="G79" s="13"/>
      <c r="H79" s="13"/>
      <c r="I79" s="13"/>
      <c r="J79" s="13"/>
      <c r="K79" s="13"/>
      <c r="L79" s="13"/>
      <c r="M79" s="15"/>
      <c r="N79" s="15"/>
      <c r="O79" s="15"/>
      <c r="P79" s="15"/>
      <c r="Q79" s="15"/>
      <c r="R79" s="16" t="str">
        <f>IF(COUNT(M79:Q79)&lt;5,"",(M79*Summary!$F$5+N79*Summary!$F$6+O79*Summary!$F$7+P79*Summary!$F$8+Q79*Summary!$F$9)/Summary!$F$10)</f>
        <v/>
      </c>
      <c r="S79" s="17" t="str">
        <f t="shared" si="1"/>
        <v/>
      </c>
      <c r="T79" s="17" t="str">
        <f>IF(S79="","",IF(S79&lt;=Summary!$B$5,"Featured candidate",""))</f>
        <v/>
      </c>
    </row>
    <row r="80" ht="14.25" customHeight="1">
      <c r="A80" s="17" t="str">
        <f t="shared" si="2"/>
        <v/>
      </c>
      <c r="B80" s="13"/>
      <c r="C80" s="13"/>
      <c r="D80" s="13"/>
      <c r="E80" s="13"/>
      <c r="F80" s="13"/>
      <c r="G80" s="13"/>
      <c r="H80" s="13"/>
      <c r="I80" s="13"/>
      <c r="J80" s="13"/>
      <c r="K80" s="13"/>
      <c r="L80" s="13"/>
      <c r="M80" s="15"/>
      <c r="N80" s="15"/>
      <c r="O80" s="15"/>
      <c r="P80" s="15"/>
      <c r="Q80" s="15"/>
      <c r="R80" s="16" t="str">
        <f>IF(COUNT(M80:Q80)&lt;5,"",(M80*Summary!$F$5+N80*Summary!$F$6+O80*Summary!$F$7+P80*Summary!$F$8+Q80*Summary!$F$9)/Summary!$F$10)</f>
        <v/>
      </c>
      <c r="S80" s="17" t="str">
        <f t="shared" si="1"/>
        <v/>
      </c>
      <c r="T80" s="17" t="str">
        <f>IF(S80="","",IF(S80&lt;=Summary!$B$5,"Featured candidate",""))</f>
        <v/>
      </c>
    </row>
    <row r="81" ht="14.25" customHeight="1">
      <c r="A81" s="17" t="str">
        <f t="shared" si="2"/>
        <v/>
      </c>
      <c r="B81" s="13"/>
      <c r="C81" s="13"/>
      <c r="D81" s="13"/>
      <c r="E81" s="13"/>
      <c r="F81" s="13"/>
      <c r="G81" s="13"/>
      <c r="H81" s="13"/>
      <c r="I81" s="13"/>
      <c r="J81" s="13"/>
      <c r="K81" s="13"/>
      <c r="L81" s="13"/>
      <c r="M81" s="15"/>
      <c r="N81" s="15"/>
      <c r="O81" s="15"/>
      <c r="P81" s="15"/>
      <c r="Q81" s="15"/>
      <c r="R81" s="16" t="str">
        <f>IF(COUNT(M81:Q81)&lt;5,"",(M81*Summary!$F$5+N81*Summary!$F$6+O81*Summary!$F$7+P81*Summary!$F$8+Q81*Summary!$F$9)/Summary!$F$10)</f>
        <v/>
      </c>
      <c r="S81" s="17" t="str">
        <f t="shared" si="1"/>
        <v/>
      </c>
      <c r="T81" s="17" t="str">
        <f>IF(S81="","",IF(S81&lt;=Summary!$B$5,"Featured candidate",""))</f>
        <v/>
      </c>
    </row>
    <row r="82" ht="14.25" customHeight="1">
      <c r="A82" s="17" t="str">
        <f t="shared" si="2"/>
        <v/>
      </c>
      <c r="B82" s="13"/>
      <c r="C82" s="13"/>
      <c r="D82" s="13"/>
      <c r="E82" s="13"/>
      <c r="F82" s="13"/>
      <c r="G82" s="13"/>
      <c r="H82" s="13"/>
      <c r="I82" s="13"/>
      <c r="J82" s="13"/>
      <c r="K82" s="13"/>
      <c r="L82" s="13"/>
      <c r="M82" s="15"/>
      <c r="N82" s="15"/>
      <c r="O82" s="15"/>
      <c r="P82" s="15"/>
      <c r="Q82" s="15"/>
      <c r="R82" s="16" t="str">
        <f>IF(COUNT(M82:Q82)&lt;5,"",(M82*Summary!$F$5+N82*Summary!$F$6+O82*Summary!$F$7+P82*Summary!$F$8+Q82*Summary!$F$9)/Summary!$F$10)</f>
        <v/>
      </c>
      <c r="S82" s="17" t="str">
        <f t="shared" si="1"/>
        <v/>
      </c>
      <c r="T82" s="17" t="str">
        <f>IF(S82="","",IF(S82&lt;=Summary!$B$5,"Featured candidate",""))</f>
        <v/>
      </c>
    </row>
    <row r="83" ht="14.25" customHeight="1">
      <c r="A83" s="17" t="str">
        <f t="shared" si="2"/>
        <v/>
      </c>
      <c r="B83" s="13"/>
      <c r="C83" s="13"/>
      <c r="D83" s="13"/>
      <c r="E83" s="13"/>
      <c r="F83" s="13"/>
      <c r="G83" s="13"/>
      <c r="H83" s="13"/>
      <c r="I83" s="13"/>
      <c r="J83" s="13"/>
      <c r="K83" s="13"/>
      <c r="L83" s="13"/>
      <c r="M83" s="15"/>
      <c r="N83" s="15"/>
      <c r="O83" s="15"/>
      <c r="P83" s="15"/>
      <c r="Q83" s="15"/>
      <c r="R83" s="16" t="str">
        <f>IF(COUNT(M83:Q83)&lt;5,"",(M83*Summary!$F$5+N83*Summary!$F$6+O83*Summary!$F$7+P83*Summary!$F$8+Q83*Summary!$F$9)/Summary!$F$10)</f>
        <v/>
      </c>
      <c r="S83" s="17" t="str">
        <f t="shared" si="1"/>
        <v/>
      </c>
      <c r="T83" s="17" t="str">
        <f>IF(S83="","",IF(S83&lt;=Summary!$B$5,"Featured candidate",""))</f>
        <v/>
      </c>
    </row>
    <row r="84" ht="14.25" customHeight="1">
      <c r="A84" s="17" t="str">
        <f t="shared" si="2"/>
        <v/>
      </c>
      <c r="B84" s="13"/>
      <c r="C84" s="13"/>
      <c r="D84" s="13"/>
      <c r="E84" s="13"/>
      <c r="F84" s="13"/>
      <c r="G84" s="13"/>
      <c r="H84" s="13"/>
      <c r="I84" s="13"/>
      <c r="J84" s="13"/>
      <c r="K84" s="13"/>
      <c r="L84" s="13"/>
      <c r="M84" s="15"/>
      <c r="N84" s="15"/>
      <c r="O84" s="15"/>
      <c r="P84" s="15"/>
      <c r="Q84" s="15"/>
      <c r="R84" s="16" t="str">
        <f>IF(COUNT(M84:Q84)&lt;5,"",(M84*Summary!$F$5+N84*Summary!$F$6+O84*Summary!$F$7+P84*Summary!$F$8+Q84*Summary!$F$9)/Summary!$F$10)</f>
        <v/>
      </c>
      <c r="S84" s="17" t="str">
        <f t="shared" si="1"/>
        <v/>
      </c>
      <c r="T84" s="17" t="str">
        <f>IF(S84="","",IF(S84&lt;=Summary!$B$5,"Featured candidate",""))</f>
        <v/>
      </c>
    </row>
    <row r="85" ht="14.25" customHeight="1">
      <c r="A85" s="17" t="str">
        <f t="shared" si="2"/>
        <v/>
      </c>
      <c r="B85" s="13"/>
      <c r="C85" s="13"/>
      <c r="D85" s="13"/>
      <c r="E85" s="13"/>
      <c r="F85" s="13"/>
      <c r="G85" s="13"/>
      <c r="H85" s="13"/>
      <c r="I85" s="13"/>
      <c r="J85" s="13"/>
      <c r="K85" s="13"/>
      <c r="L85" s="13"/>
      <c r="M85" s="15"/>
      <c r="N85" s="15"/>
      <c r="O85" s="15"/>
      <c r="P85" s="15"/>
      <c r="Q85" s="15"/>
      <c r="R85" s="16" t="str">
        <f>IF(COUNT(M85:Q85)&lt;5,"",(M85*Summary!$F$5+N85*Summary!$F$6+O85*Summary!$F$7+P85*Summary!$F$8+Q85*Summary!$F$9)/Summary!$F$10)</f>
        <v/>
      </c>
      <c r="S85" s="17" t="str">
        <f t="shared" si="1"/>
        <v/>
      </c>
      <c r="T85" s="17" t="str">
        <f>IF(S85="","",IF(S85&lt;=Summary!$B$5,"Featured candidate",""))</f>
        <v/>
      </c>
    </row>
    <row r="86" ht="14.25" customHeight="1">
      <c r="A86" s="17" t="str">
        <f t="shared" si="2"/>
        <v/>
      </c>
      <c r="B86" s="13"/>
      <c r="C86" s="13"/>
      <c r="D86" s="13"/>
      <c r="E86" s="13"/>
      <c r="F86" s="13"/>
      <c r="G86" s="13"/>
      <c r="H86" s="13"/>
      <c r="I86" s="13"/>
      <c r="J86" s="13"/>
      <c r="K86" s="13"/>
      <c r="L86" s="13"/>
      <c r="M86" s="15"/>
      <c r="N86" s="15"/>
      <c r="O86" s="15"/>
      <c r="P86" s="15"/>
      <c r="Q86" s="15"/>
      <c r="R86" s="16" t="str">
        <f>IF(COUNT(M86:Q86)&lt;5,"",(M86*Summary!$F$5+N86*Summary!$F$6+O86*Summary!$F$7+P86*Summary!$F$8+Q86*Summary!$F$9)/Summary!$F$10)</f>
        <v/>
      </c>
      <c r="S86" s="17" t="str">
        <f t="shared" si="1"/>
        <v/>
      </c>
      <c r="T86" s="17" t="str">
        <f>IF(S86="","",IF(S86&lt;=Summary!$B$5,"Featured candidate",""))</f>
        <v/>
      </c>
    </row>
    <row r="87" ht="14.25" customHeight="1">
      <c r="A87" s="17" t="str">
        <f t="shared" si="2"/>
        <v/>
      </c>
      <c r="B87" s="13"/>
      <c r="C87" s="13"/>
      <c r="D87" s="13"/>
      <c r="E87" s="13"/>
      <c r="F87" s="13"/>
      <c r="G87" s="13"/>
      <c r="H87" s="13"/>
      <c r="I87" s="13"/>
      <c r="J87" s="13"/>
      <c r="K87" s="13"/>
      <c r="L87" s="13"/>
      <c r="M87" s="15"/>
      <c r="N87" s="15"/>
      <c r="O87" s="15"/>
      <c r="P87" s="15"/>
      <c r="Q87" s="15"/>
      <c r="R87" s="16" t="str">
        <f>IF(COUNT(M87:Q87)&lt;5,"",(M87*Summary!$F$5+N87*Summary!$F$6+O87*Summary!$F$7+P87*Summary!$F$8+Q87*Summary!$F$9)/Summary!$F$10)</f>
        <v/>
      </c>
      <c r="S87" s="17" t="str">
        <f t="shared" si="1"/>
        <v/>
      </c>
      <c r="T87" s="17" t="str">
        <f>IF(S87="","",IF(S87&lt;=Summary!$B$5,"Featured candidate",""))</f>
        <v/>
      </c>
    </row>
    <row r="88" ht="14.25" customHeight="1">
      <c r="A88" s="17" t="str">
        <f t="shared" si="2"/>
        <v/>
      </c>
      <c r="B88" s="13"/>
      <c r="C88" s="13"/>
      <c r="D88" s="13"/>
      <c r="E88" s="13"/>
      <c r="F88" s="13"/>
      <c r="G88" s="13"/>
      <c r="H88" s="13"/>
      <c r="I88" s="13"/>
      <c r="J88" s="13"/>
      <c r="K88" s="13"/>
      <c r="L88" s="13"/>
      <c r="M88" s="15"/>
      <c r="N88" s="15"/>
      <c r="O88" s="15"/>
      <c r="P88" s="15"/>
      <c r="Q88" s="15"/>
      <c r="R88" s="16" t="str">
        <f>IF(COUNT(M88:Q88)&lt;5,"",(M88*Summary!$F$5+N88*Summary!$F$6+O88*Summary!$F$7+P88*Summary!$F$8+Q88*Summary!$F$9)/Summary!$F$10)</f>
        <v/>
      </c>
      <c r="S88" s="17" t="str">
        <f t="shared" si="1"/>
        <v/>
      </c>
      <c r="T88" s="17" t="str">
        <f>IF(S88="","",IF(S88&lt;=Summary!$B$5,"Featured candidate",""))</f>
        <v/>
      </c>
    </row>
    <row r="89" ht="14.25" customHeight="1">
      <c r="A89" s="17" t="str">
        <f t="shared" si="2"/>
        <v/>
      </c>
      <c r="B89" s="13"/>
      <c r="C89" s="13"/>
      <c r="D89" s="13"/>
      <c r="E89" s="13"/>
      <c r="F89" s="13"/>
      <c r="G89" s="13"/>
      <c r="H89" s="13"/>
      <c r="I89" s="13"/>
      <c r="J89" s="13"/>
      <c r="K89" s="13"/>
      <c r="L89" s="13"/>
      <c r="M89" s="15"/>
      <c r="N89" s="15"/>
      <c r="O89" s="15"/>
      <c r="P89" s="15"/>
      <c r="Q89" s="15"/>
      <c r="R89" s="16" t="str">
        <f>IF(COUNT(M89:Q89)&lt;5,"",(M89*Summary!$F$5+N89*Summary!$F$6+O89*Summary!$F$7+P89*Summary!$F$8+Q89*Summary!$F$9)/Summary!$F$10)</f>
        <v/>
      </c>
      <c r="S89" s="17" t="str">
        <f t="shared" si="1"/>
        <v/>
      </c>
      <c r="T89" s="17" t="str">
        <f>IF(S89="","",IF(S89&lt;=Summary!$B$5,"Featured candidate",""))</f>
        <v/>
      </c>
    </row>
    <row r="90" ht="14.25" customHeight="1">
      <c r="A90" s="17" t="str">
        <f t="shared" si="2"/>
        <v/>
      </c>
      <c r="B90" s="13"/>
      <c r="C90" s="13"/>
      <c r="D90" s="13"/>
      <c r="E90" s="13"/>
      <c r="F90" s="13"/>
      <c r="G90" s="13"/>
      <c r="H90" s="13"/>
      <c r="I90" s="13"/>
      <c r="J90" s="13"/>
      <c r="K90" s="13"/>
      <c r="L90" s="13"/>
      <c r="M90" s="15"/>
      <c r="N90" s="15"/>
      <c r="O90" s="15"/>
      <c r="P90" s="15"/>
      <c r="Q90" s="15"/>
      <c r="R90" s="16" t="str">
        <f>IF(COUNT(M90:Q90)&lt;5,"",(M90*Summary!$F$5+N90*Summary!$F$6+O90*Summary!$F$7+P90*Summary!$F$8+Q90*Summary!$F$9)/Summary!$F$10)</f>
        <v/>
      </c>
      <c r="S90" s="17" t="str">
        <f t="shared" si="1"/>
        <v/>
      </c>
      <c r="T90" s="17" t="str">
        <f>IF(S90="","",IF(S90&lt;=Summary!$B$5,"Featured candidate",""))</f>
        <v/>
      </c>
    </row>
    <row r="91" ht="14.25" customHeight="1">
      <c r="A91" s="17" t="str">
        <f t="shared" si="2"/>
        <v/>
      </c>
      <c r="B91" s="13"/>
      <c r="C91" s="13"/>
      <c r="D91" s="13"/>
      <c r="E91" s="13"/>
      <c r="F91" s="13"/>
      <c r="G91" s="13"/>
      <c r="H91" s="13"/>
      <c r="I91" s="13"/>
      <c r="J91" s="13"/>
      <c r="K91" s="13"/>
      <c r="L91" s="13"/>
      <c r="M91" s="15"/>
      <c r="N91" s="15"/>
      <c r="O91" s="15"/>
      <c r="P91" s="15"/>
      <c r="Q91" s="15"/>
      <c r="R91" s="16" t="str">
        <f>IF(COUNT(M91:Q91)&lt;5,"",(M91*Summary!$F$5+N91*Summary!$F$6+O91*Summary!$F$7+P91*Summary!$F$8+Q91*Summary!$F$9)/Summary!$F$10)</f>
        <v/>
      </c>
      <c r="S91" s="17" t="str">
        <f t="shared" si="1"/>
        <v/>
      </c>
      <c r="T91" s="17" t="str">
        <f>IF(S91="","",IF(S91&lt;=Summary!$B$5,"Featured candidate",""))</f>
        <v/>
      </c>
    </row>
    <row r="92" ht="14.25" customHeight="1">
      <c r="A92" s="17" t="str">
        <f t="shared" si="2"/>
        <v/>
      </c>
      <c r="B92" s="13"/>
      <c r="C92" s="13"/>
      <c r="D92" s="13"/>
      <c r="E92" s="13"/>
      <c r="F92" s="13"/>
      <c r="G92" s="13"/>
      <c r="H92" s="13"/>
      <c r="I92" s="13"/>
      <c r="J92" s="13"/>
      <c r="K92" s="13"/>
      <c r="L92" s="13"/>
      <c r="M92" s="15"/>
      <c r="N92" s="15"/>
      <c r="O92" s="15"/>
      <c r="P92" s="15"/>
      <c r="Q92" s="15"/>
      <c r="R92" s="16" t="str">
        <f>IF(COUNT(M92:Q92)&lt;5,"",(M92*Summary!$F$5+N92*Summary!$F$6+O92*Summary!$F$7+P92*Summary!$F$8+Q92*Summary!$F$9)/Summary!$F$10)</f>
        <v/>
      </c>
      <c r="S92" s="17" t="str">
        <f t="shared" si="1"/>
        <v/>
      </c>
      <c r="T92" s="17" t="str">
        <f>IF(S92="","",IF(S92&lt;=Summary!$B$5,"Featured candidate",""))</f>
        <v/>
      </c>
    </row>
    <row r="93" ht="14.25" customHeight="1">
      <c r="A93" s="17" t="str">
        <f t="shared" si="2"/>
        <v/>
      </c>
      <c r="B93" s="13"/>
      <c r="C93" s="13"/>
      <c r="D93" s="13"/>
      <c r="E93" s="13"/>
      <c r="F93" s="13"/>
      <c r="G93" s="13"/>
      <c r="H93" s="13"/>
      <c r="I93" s="13"/>
      <c r="J93" s="13"/>
      <c r="K93" s="13"/>
      <c r="L93" s="13"/>
      <c r="M93" s="15"/>
      <c r="N93" s="15"/>
      <c r="O93" s="15"/>
      <c r="P93" s="15"/>
      <c r="Q93" s="15"/>
      <c r="R93" s="16" t="str">
        <f>IF(COUNT(M93:Q93)&lt;5,"",(M93*Summary!$F$5+N93*Summary!$F$6+O93*Summary!$F$7+P93*Summary!$F$8+Q93*Summary!$F$9)/Summary!$F$10)</f>
        <v/>
      </c>
      <c r="S93" s="17" t="str">
        <f t="shared" si="1"/>
        <v/>
      </c>
      <c r="T93" s="17" t="str">
        <f>IF(S93="","",IF(S93&lt;=Summary!$B$5,"Featured candidate",""))</f>
        <v/>
      </c>
    </row>
    <row r="94" ht="14.25" customHeight="1">
      <c r="A94" s="17" t="str">
        <f t="shared" si="2"/>
        <v/>
      </c>
      <c r="B94" s="13"/>
      <c r="C94" s="13"/>
      <c r="D94" s="13"/>
      <c r="E94" s="13"/>
      <c r="F94" s="13"/>
      <c r="G94" s="13"/>
      <c r="H94" s="13"/>
      <c r="I94" s="13"/>
      <c r="J94" s="13"/>
      <c r="K94" s="13"/>
      <c r="L94" s="13"/>
      <c r="M94" s="15"/>
      <c r="N94" s="15"/>
      <c r="O94" s="15"/>
      <c r="P94" s="15"/>
      <c r="Q94" s="15"/>
      <c r="R94" s="16" t="str">
        <f>IF(COUNT(M94:Q94)&lt;5,"",(M94*Summary!$F$5+N94*Summary!$F$6+O94*Summary!$F$7+P94*Summary!$F$8+Q94*Summary!$F$9)/Summary!$F$10)</f>
        <v/>
      </c>
      <c r="S94" s="17" t="str">
        <f t="shared" si="1"/>
        <v/>
      </c>
      <c r="T94" s="17" t="str">
        <f>IF(S94="","",IF(S94&lt;=Summary!$B$5,"Featured candidate",""))</f>
        <v/>
      </c>
    </row>
    <row r="95" ht="14.25" customHeight="1">
      <c r="A95" s="17" t="str">
        <f t="shared" si="2"/>
        <v/>
      </c>
      <c r="B95" s="13"/>
      <c r="C95" s="13"/>
      <c r="D95" s="13"/>
      <c r="E95" s="13"/>
      <c r="F95" s="13"/>
      <c r="G95" s="13"/>
      <c r="H95" s="13"/>
      <c r="I95" s="13"/>
      <c r="J95" s="13"/>
      <c r="K95" s="13"/>
      <c r="L95" s="13"/>
      <c r="M95" s="15"/>
      <c r="N95" s="15"/>
      <c r="O95" s="15"/>
      <c r="P95" s="15"/>
      <c r="Q95" s="15"/>
      <c r="R95" s="16" t="str">
        <f>IF(COUNT(M95:Q95)&lt;5,"",(M95*Summary!$F$5+N95*Summary!$F$6+O95*Summary!$F$7+P95*Summary!$F$8+Q95*Summary!$F$9)/Summary!$F$10)</f>
        <v/>
      </c>
      <c r="S95" s="17" t="str">
        <f t="shared" si="1"/>
        <v/>
      </c>
      <c r="T95" s="17" t="str">
        <f>IF(S95="","",IF(S95&lt;=Summary!$B$5,"Featured candidate",""))</f>
        <v/>
      </c>
    </row>
    <row r="96" ht="14.25" customHeight="1">
      <c r="A96" s="17" t="str">
        <f t="shared" si="2"/>
        <v/>
      </c>
      <c r="B96" s="13"/>
      <c r="C96" s="13"/>
      <c r="D96" s="13"/>
      <c r="E96" s="13"/>
      <c r="F96" s="13"/>
      <c r="G96" s="13"/>
      <c r="H96" s="13"/>
      <c r="I96" s="13"/>
      <c r="J96" s="13"/>
      <c r="K96" s="13"/>
      <c r="L96" s="13"/>
      <c r="M96" s="15"/>
      <c r="N96" s="15"/>
      <c r="O96" s="15"/>
      <c r="P96" s="15"/>
      <c r="Q96" s="15"/>
      <c r="R96" s="16" t="str">
        <f>IF(COUNT(M96:Q96)&lt;5,"",(M96*Summary!$F$5+N96*Summary!$F$6+O96*Summary!$F$7+P96*Summary!$F$8+Q96*Summary!$F$9)/Summary!$F$10)</f>
        <v/>
      </c>
      <c r="S96" s="17" t="str">
        <f t="shared" si="1"/>
        <v/>
      </c>
      <c r="T96" s="17" t="str">
        <f>IF(S96="","",IF(S96&lt;=Summary!$B$5,"Featured candidate",""))</f>
        <v/>
      </c>
    </row>
    <row r="97" ht="14.25" customHeight="1">
      <c r="A97" s="17" t="str">
        <f t="shared" si="2"/>
        <v/>
      </c>
      <c r="B97" s="13"/>
      <c r="C97" s="13"/>
      <c r="D97" s="13"/>
      <c r="E97" s="13"/>
      <c r="F97" s="13"/>
      <c r="G97" s="13"/>
      <c r="H97" s="13"/>
      <c r="I97" s="13"/>
      <c r="J97" s="13"/>
      <c r="K97" s="13"/>
      <c r="L97" s="13"/>
      <c r="M97" s="15"/>
      <c r="N97" s="15"/>
      <c r="O97" s="15"/>
      <c r="P97" s="15"/>
      <c r="Q97" s="15"/>
      <c r="R97" s="16" t="str">
        <f>IF(COUNT(M97:Q97)&lt;5,"",(M97*Summary!$F$5+N97*Summary!$F$6+O97*Summary!$F$7+P97*Summary!$F$8+Q97*Summary!$F$9)/Summary!$F$10)</f>
        <v/>
      </c>
      <c r="S97" s="17" t="str">
        <f t="shared" si="1"/>
        <v/>
      </c>
      <c r="T97" s="17" t="str">
        <f>IF(S97="","",IF(S97&lt;=Summary!$B$5,"Featured candidate",""))</f>
        <v/>
      </c>
    </row>
    <row r="98" ht="14.25" customHeight="1">
      <c r="A98" s="17" t="str">
        <f t="shared" si="2"/>
        <v/>
      </c>
      <c r="B98" s="13"/>
      <c r="C98" s="13"/>
      <c r="D98" s="13"/>
      <c r="E98" s="13"/>
      <c r="F98" s="13"/>
      <c r="G98" s="13"/>
      <c r="H98" s="13"/>
      <c r="I98" s="13"/>
      <c r="J98" s="13"/>
      <c r="K98" s="13"/>
      <c r="L98" s="13"/>
      <c r="M98" s="15"/>
      <c r="N98" s="15"/>
      <c r="O98" s="15"/>
      <c r="P98" s="15"/>
      <c r="Q98" s="15"/>
      <c r="R98" s="16" t="str">
        <f>IF(COUNT(M98:Q98)&lt;5,"",(M98*Summary!$F$5+N98*Summary!$F$6+O98*Summary!$F$7+P98*Summary!$F$8+Q98*Summary!$F$9)/Summary!$F$10)</f>
        <v/>
      </c>
      <c r="S98" s="17" t="str">
        <f t="shared" si="1"/>
        <v/>
      </c>
      <c r="T98" s="17" t="str">
        <f>IF(S98="","",IF(S98&lt;=Summary!$B$5,"Featured candidate",""))</f>
        <v/>
      </c>
    </row>
    <row r="99" ht="14.25" customHeight="1">
      <c r="A99" s="17" t="str">
        <f t="shared" si="2"/>
        <v/>
      </c>
      <c r="B99" s="13"/>
      <c r="C99" s="13"/>
      <c r="D99" s="13"/>
      <c r="E99" s="13"/>
      <c r="F99" s="13"/>
      <c r="G99" s="13"/>
      <c r="H99" s="13"/>
      <c r="I99" s="13"/>
      <c r="J99" s="13"/>
      <c r="K99" s="13"/>
      <c r="L99" s="13"/>
      <c r="M99" s="15"/>
      <c r="N99" s="15"/>
      <c r="O99" s="15"/>
      <c r="P99" s="15"/>
      <c r="Q99" s="15"/>
      <c r="R99" s="16" t="str">
        <f>IF(COUNT(M99:Q99)&lt;5,"",(M99*Summary!$F$5+N99*Summary!$F$6+O99*Summary!$F$7+P99*Summary!$F$8+Q99*Summary!$F$9)/Summary!$F$10)</f>
        <v/>
      </c>
      <c r="S99" s="17" t="str">
        <f t="shared" si="1"/>
        <v/>
      </c>
      <c r="T99" s="17" t="str">
        <f>IF(S99="","",IF(S99&lt;=Summary!$B$5,"Featured candidate",""))</f>
        <v/>
      </c>
    </row>
    <row r="100" ht="14.25" customHeight="1">
      <c r="A100" s="17" t="str">
        <f t="shared" si="2"/>
        <v/>
      </c>
      <c r="B100" s="13"/>
      <c r="C100" s="13"/>
      <c r="D100" s="13"/>
      <c r="E100" s="13"/>
      <c r="F100" s="13"/>
      <c r="G100" s="13"/>
      <c r="H100" s="13"/>
      <c r="I100" s="13"/>
      <c r="J100" s="13"/>
      <c r="K100" s="13"/>
      <c r="L100" s="13"/>
      <c r="M100" s="15"/>
      <c r="N100" s="15"/>
      <c r="O100" s="15"/>
      <c r="P100" s="15"/>
      <c r="Q100" s="15"/>
      <c r="R100" s="16" t="str">
        <f>IF(COUNT(M100:Q100)&lt;5,"",(M100*Summary!$F$5+N100*Summary!$F$6+O100*Summary!$F$7+P100*Summary!$F$8+Q100*Summary!$F$9)/Summary!$F$10)</f>
        <v/>
      </c>
      <c r="S100" s="17" t="str">
        <f t="shared" si="1"/>
        <v/>
      </c>
      <c r="T100" s="17" t="str">
        <f>IF(S100="","",IF(S100&lt;=Summary!$B$5,"Featured candidate",""))</f>
        <v/>
      </c>
    </row>
    <row r="101" ht="14.25" customHeight="1">
      <c r="A101" s="17" t="str">
        <f t="shared" si="2"/>
        <v/>
      </c>
      <c r="B101" s="13"/>
      <c r="C101" s="13"/>
      <c r="D101" s="13"/>
      <c r="E101" s="13"/>
      <c r="F101" s="13"/>
      <c r="G101" s="13"/>
      <c r="H101" s="13"/>
      <c r="I101" s="13"/>
      <c r="J101" s="13"/>
      <c r="K101" s="13"/>
      <c r="L101" s="13"/>
      <c r="M101" s="15"/>
      <c r="N101" s="15"/>
      <c r="O101" s="15"/>
      <c r="P101" s="15"/>
      <c r="Q101" s="15"/>
      <c r="R101" s="16" t="str">
        <f>IF(COUNT(M101:Q101)&lt;5,"",(M101*Summary!$F$5+N101*Summary!$F$6+O101*Summary!$F$7+P101*Summary!$F$8+Q101*Summary!$F$9)/Summary!$F$10)</f>
        <v/>
      </c>
      <c r="S101" s="17" t="str">
        <f t="shared" si="1"/>
        <v/>
      </c>
      <c r="T101" s="17" t="str">
        <f>IF(S101="","",IF(S101&lt;=Summary!$B$5,"Featured candidate",""))</f>
        <v/>
      </c>
    </row>
    <row r="102" ht="14.25" customHeight="1">
      <c r="A102" s="17" t="str">
        <f t="shared" si="2"/>
        <v/>
      </c>
      <c r="B102" s="13"/>
      <c r="C102" s="13"/>
      <c r="D102" s="13"/>
      <c r="E102" s="13"/>
      <c r="F102" s="13"/>
      <c r="G102" s="13"/>
      <c r="H102" s="13"/>
      <c r="I102" s="13"/>
      <c r="J102" s="13"/>
      <c r="K102" s="13"/>
      <c r="L102" s="13"/>
      <c r="M102" s="15"/>
      <c r="N102" s="15"/>
      <c r="O102" s="15"/>
      <c r="P102" s="15"/>
      <c r="Q102" s="15"/>
      <c r="R102" s="16" t="str">
        <f>IF(COUNT(M102:Q102)&lt;5,"",(M102*Summary!$F$5+N102*Summary!$F$6+O102*Summary!$F$7+P102*Summary!$F$8+Q102*Summary!$F$9)/Summary!$F$10)</f>
        <v/>
      </c>
      <c r="S102" s="17" t="str">
        <f t="shared" si="1"/>
        <v/>
      </c>
      <c r="T102" s="17" t="str">
        <f>IF(S102="","",IF(S102&lt;=Summary!$B$5,"Featured candidate",""))</f>
        <v/>
      </c>
    </row>
    <row r="103" ht="14.25" customHeight="1">
      <c r="A103" s="17" t="str">
        <f t="shared" si="2"/>
        <v/>
      </c>
      <c r="B103" s="13"/>
      <c r="C103" s="13"/>
      <c r="D103" s="13"/>
      <c r="E103" s="13"/>
      <c r="F103" s="13"/>
      <c r="G103" s="13"/>
      <c r="H103" s="13"/>
      <c r="I103" s="13"/>
      <c r="J103" s="13"/>
      <c r="K103" s="13"/>
      <c r="L103" s="13"/>
      <c r="M103" s="15"/>
      <c r="N103" s="15"/>
      <c r="O103" s="15"/>
      <c r="P103" s="15"/>
      <c r="Q103" s="15"/>
      <c r="R103" s="16" t="str">
        <f>IF(COUNT(M103:Q103)&lt;5,"",(M103*Summary!$F$5+N103*Summary!$F$6+O103*Summary!$F$7+P103*Summary!$F$8+Q103*Summary!$F$9)/Summary!$F$10)</f>
        <v/>
      </c>
      <c r="S103" s="17" t="str">
        <f t="shared" si="1"/>
        <v/>
      </c>
      <c r="T103" s="17" t="str">
        <f>IF(S103="","",IF(S103&lt;=Summary!$B$5,"Featured candidate",""))</f>
        <v/>
      </c>
    </row>
    <row r="104" ht="14.25" customHeight="1">
      <c r="A104" s="17" t="str">
        <f t="shared" si="2"/>
        <v/>
      </c>
      <c r="B104" s="13"/>
      <c r="C104" s="13"/>
      <c r="D104" s="13"/>
      <c r="E104" s="13"/>
      <c r="F104" s="13"/>
      <c r="G104" s="13"/>
      <c r="H104" s="13"/>
      <c r="I104" s="13"/>
      <c r="J104" s="13"/>
      <c r="K104" s="13"/>
      <c r="L104" s="13"/>
      <c r="M104" s="15"/>
      <c r="N104" s="15"/>
      <c r="O104" s="15"/>
      <c r="P104" s="15"/>
      <c r="Q104" s="15"/>
      <c r="R104" s="16" t="str">
        <f>IF(COUNT(M104:Q104)&lt;5,"",(M104*Summary!$F$5+N104*Summary!$F$6+O104*Summary!$F$7+P104*Summary!$F$8+Q104*Summary!$F$9)/Summary!$F$10)</f>
        <v/>
      </c>
      <c r="S104" s="17" t="str">
        <f t="shared" si="1"/>
        <v/>
      </c>
      <c r="T104" s="17" t="str">
        <f>IF(S104="","",IF(S104&lt;=Summary!$B$5,"Featured candidate",""))</f>
        <v/>
      </c>
    </row>
    <row r="105" ht="14.25" customHeight="1">
      <c r="A105" s="17" t="str">
        <f t="shared" si="2"/>
        <v/>
      </c>
      <c r="B105" s="13"/>
      <c r="C105" s="13"/>
      <c r="D105" s="13"/>
      <c r="E105" s="13"/>
      <c r="F105" s="13"/>
      <c r="G105" s="13"/>
      <c r="H105" s="13"/>
      <c r="I105" s="13"/>
      <c r="J105" s="13"/>
      <c r="K105" s="13"/>
      <c r="L105" s="13"/>
      <c r="M105" s="15"/>
      <c r="N105" s="15"/>
      <c r="O105" s="15"/>
      <c r="P105" s="15"/>
      <c r="Q105" s="15"/>
      <c r="R105" s="16" t="str">
        <f>IF(COUNT(M105:Q105)&lt;5,"",(M105*Summary!$F$5+N105*Summary!$F$6+O105*Summary!$F$7+P105*Summary!$F$8+Q105*Summary!$F$9)/Summary!$F$10)</f>
        <v/>
      </c>
      <c r="S105" s="17" t="str">
        <f t="shared" si="1"/>
        <v/>
      </c>
      <c r="T105" s="17" t="str">
        <f>IF(S105="","",IF(S105&lt;=Summary!$B$5,"Featured candidate",""))</f>
        <v/>
      </c>
    </row>
    <row r="106" ht="14.25" customHeight="1">
      <c r="A106" s="17" t="str">
        <f t="shared" si="2"/>
        <v/>
      </c>
      <c r="B106" s="13"/>
      <c r="C106" s="13"/>
      <c r="D106" s="13"/>
      <c r="E106" s="13"/>
      <c r="F106" s="13"/>
      <c r="G106" s="13"/>
      <c r="H106" s="13"/>
      <c r="I106" s="13"/>
      <c r="J106" s="13"/>
      <c r="K106" s="13"/>
      <c r="L106" s="13"/>
      <c r="M106" s="15"/>
      <c r="N106" s="15"/>
      <c r="O106" s="15"/>
      <c r="P106" s="15"/>
      <c r="Q106" s="15"/>
      <c r="R106" s="16" t="str">
        <f>IF(COUNT(M106:Q106)&lt;5,"",(M106*Summary!$F$5+N106*Summary!$F$6+O106*Summary!$F$7+P106*Summary!$F$8+Q106*Summary!$F$9)/Summary!$F$10)</f>
        <v/>
      </c>
      <c r="S106" s="17" t="str">
        <f t="shared" si="1"/>
        <v/>
      </c>
      <c r="T106" s="17" t="str">
        <f>IF(S106="","",IF(S106&lt;=Summary!$B$5,"Featured candidate",""))</f>
        <v/>
      </c>
    </row>
    <row r="107" ht="14.25" customHeight="1">
      <c r="A107" s="17" t="str">
        <f t="shared" si="2"/>
        <v/>
      </c>
      <c r="B107" s="13"/>
      <c r="C107" s="13"/>
      <c r="D107" s="13"/>
      <c r="E107" s="13"/>
      <c r="F107" s="13"/>
      <c r="G107" s="13"/>
      <c r="H107" s="13"/>
      <c r="I107" s="13"/>
      <c r="J107" s="13"/>
      <c r="K107" s="13"/>
      <c r="L107" s="13"/>
      <c r="M107" s="15"/>
      <c r="N107" s="15"/>
      <c r="O107" s="15"/>
      <c r="P107" s="15"/>
      <c r="Q107" s="15"/>
      <c r="R107" s="16" t="str">
        <f>IF(COUNT(M107:Q107)&lt;5,"",(M107*Summary!$F$5+N107*Summary!$F$6+O107*Summary!$F$7+P107*Summary!$F$8+Q107*Summary!$F$9)/Summary!$F$10)</f>
        <v/>
      </c>
      <c r="S107" s="17" t="str">
        <f t="shared" si="1"/>
        <v/>
      </c>
      <c r="T107" s="17" t="str">
        <f>IF(S107="","",IF(S107&lt;=Summary!$B$5,"Featured candidate",""))</f>
        <v/>
      </c>
    </row>
    <row r="108" ht="14.25" customHeight="1">
      <c r="A108" s="17" t="str">
        <f t="shared" si="2"/>
        <v/>
      </c>
      <c r="B108" s="13"/>
      <c r="C108" s="13"/>
      <c r="D108" s="13"/>
      <c r="E108" s="13"/>
      <c r="F108" s="13"/>
      <c r="G108" s="13"/>
      <c r="H108" s="13"/>
      <c r="I108" s="13"/>
      <c r="J108" s="13"/>
      <c r="K108" s="13"/>
      <c r="L108" s="13"/>
      <c r="M108" s="15"/>
      <c r="N108" s="15"/>
      <c r="O108" s="15"/>
      <c r="P108" s="15"/>
      <c r="Q108" s="15"/>
      <c r="R108" s="16" t="str">
        <f>IF(COUNT(M108:Q108)&lt;5,"",(M108*Summary!$F$5+N108*Summary!$F$6+O108*Summary!$F$7+P108*Summary!$F$8+Q108*Summary!$F$9)/Summary!$F$10)</f>
        <v/>
      </c>
      <c r="S108" s="17" t="str">
        <f t="shared" si="1"/>
        <v/>
      </c>
      <c r="T108" s="17" t="str">
        <f>IF(S108="","",IF(S108&lt;=Summary!$B$5,"Featured candidate",""))</f>
        <v/>
      </c>
    </row>
    <row r="109" ht="14.25" customHeight="1">
      <c r="A109" s="17" t="str">
        <f t="shared" si="2"/>
        <v/>
      </c>
      <c r="B109" s="13"/>
      <c r="C109" s="13"/>
      <c r="D109" s="13"/>
      <c r="E109" s="13"/>
      <c r="F109" s="13"/>
      <c r="G109" s="13"/>
      <c r="H109" s="13"/>
      <c r="I109" s="13"/>
      <c r="J109" s="13"/>
      <c r="K109" s="13"/>
      <c r="L109" s="13"/>
      <c r="M109" s="15"/>
      <c r="N109" s="15"/>
      <c r="O109" s="15"/>
      <c r="P109" s="15"/>
      <c r="Q109" s="15"/>
      <c r="R109" s="16" t="str">
        <f>IF(COUNT(M109:Q109)&lt;5,"",(M109*Summary!$F$5+N109*Summary!$F$6+O109*Summary!$F$7+P109*Summary!$F$8+Q109*Summary!$F$9)/Summary!$F$10)</f>
        <v/>
      </c>
      <c r="S109" s="17" t="str">
        <f t="shared" si="1"/>
        <v/>
      </c>
      <c r="T109" s="17" t="str">
        <f>IF(S109="","",IF(S109&lt;=Summary!$B$5,"Featured candidate",""))</f>
        <v/>
      </c>
    </row>
    <row r="110" ht="14.25" customHeight="1">
      <c r="A110" s="17" t="str">
        <f t="shared" si="2"/>
        <v/>
      </c>
      <c r="B110" s="13"/>
      <c r="C110" s="13"/>
      <c r="D110" s="13"/>
      <c r="E110" s="13"/>
      <c r="F110" s="13"/>
      <c r="G110" s="13"/>
      <c r="H110" s="13"/>
      <c r="I110" s="13"/>
      <c r="J110" s="13"/>
      <c r="K110" s="13"/>
      <c r="L110" s="13"/>
      <c r="M110" s="15"/>
      <c r="N110" s="15"/>
      <c r="O110" s="15"/>
      <c r="P110" s="15"/>
      <c r="Q110" s="15"/>
      <c r="R110" s="16" t="str">
        <f>IF(COUNT(M110:Q110)&lt;5,"",(M110*Summary!$F$5+N110*Summary!$F$6+O110*Summary!$F$7+P110*Summary!$F$8+Q110*Summary!$F$9)/Summary!$F$10)</f>
        <v/>
      </c>
      <c r="S110" s="17" t="str">
        <f t="shared" si="1"/>
        <v/>
      </c>
      <c r="T110" s="17" t="str">
        <f>IF(S110="","",IF(S110&lt;=Summary!$B$5,"Featured candidate",""))</f>
        <v/>
      </c>
    </row>
    <row r="111" ht="14.25" customHeight="1">
      <c r="A111" s="17" t="str">
        <f t="shared" si="2"/>
        <v/>
      </c>
      <c r="B111" s="13"/>
      <c r="C111" s="13"/>
      <c r="D111" s="13"/>
      <c r="E111" s="13"/>
      <c r="F111" s="13"/>
      <c r="G111" s="13"/>
      <c r="H111" s="13"/>
      <c r="I111" s="13"/>
      <c r="J111" s="13"/>
      <c r="K111" s="13"/>
      <c r="L111" s="13"/>
      <c r="M111" s="15"/>
      <c r="N111" s="15"/>
      <c r="O111" s="15"/>
      <c r="P111" s="15"/>
      <c r="Q111" s="15"/>
      <c r="R111" s="16" t="str">
        <f>IF(COUNT(M111:Q111)&lt;5,"",(M111*Summary!$F$5+N111*Summary!$F$6+O111*Summary!$F$7+P111*Summary!$F$8+Q111*Summary!$F$9)/Summary!$F$10)</f>
        <v/>
      </c>
      <c r="S111" s="17" t="str">
        <f t="shared" si="1"/>
        <v/>
      </c>
      <c r="T111" s="17" t="str">
        <f>IF(S111="","",IF(S111&lt;=Summary!$B$5,"Featured candidate",""))</f>
        <v/>
      </c>
    </row>
    <row r="112" ht="14.25" customHeight="1">
      <c r="A112" s="17" t="str">
        <f t="shared" si="2"/>
        <v/>
      </c>
      <c r="B112" s="13"/>
      <c r="C112" s="13"/>
      <c r="D112" s="13"/>
      <c r="E112" s="13"/>
      <c r="F112" s="13"/>
      <c r="G112" s="13"/>
      <c r="H112" s="13"/>
      <c r="I112" s="13"/>
      <c r="J112" s="13"/>
      <c r="K112" s="13"/>
      <c r="L112" s="13"/>
      <c r="M112" s="15"/>
      <c r="N112" s="15"/>
      <c r="O112" s="15"/>
      <c r="P112" s="15"/>
      <c r="Q112" s="15"/>
      <c r="R112" s="16" t="str">
        <f>IF(COUNT(M112:Q112)&lt;5,"",(M112*Summary!$F$5+N112*Summary!$F$6+O112*Summary!$F$7+P112*Summary!$F$8+Q112*Summary!$F$9)/Summary!$F$10)</f>
        <v/>
      </c>
      <c r="S112" s="17" t="str">
        <f t="shared" si="1"/>
        <v/>
      </c>
      <c r="T112" s="17" t="str">
        <f>IF(S112="","",IF(S112&lt;=Summary!$B$5,"Featured candidate",""))</f>
        <v/>
      </c>
    </row>
    <row r="113" ht="14.25" customHeight="1">
      <c r="A113" s="17" t="str">
        <f t="shared" si="2"/>
        <v/>
      </c>
      <c r="B113" s="13"/>
      <c r="C113" s="13"/>
      <c r="D113" s="13"/>
      <c r="E113" s="13"/>
      <c r="F113" s="13"/>
      <c r="G113" s="13"/>
      <c r="H113" s="13"/>
      <c r="I113" s="13"/>
      <c r="J113" s="13"/>
      <c r="K113" s="13"/>
      <c r="L113" s="13"/>
      <c r="M113" s="15"/>
      <c r="N113" s="15"/>
      <c r="O113" s="15"/>
      <c r="P113" s="15"/>
      <c r="Q113" s="15"/>
      <c r="R113" s="16" t="str">
        <f>IF(COUNT(M113:Q113)&lt;5,"",(M113*Summary!$F$5+N113*Summary!$F$6+O113*Summary!$F$7+P113*Summary!$F$8+Q113*Summary!$F$9)/Summary!$F$10)</f>
        <v/>
      </c>
      <c r="S113" s="17" t="str">
        <f t="shared" si="1"/>
        <v/>
      </c>
      <c r="T113" s="17" t="str">
        <f>IF(S113="","",IF(S113&lt;=Summary!$B$5,"Featured candidate",""))</f>
        <v/>
      </c>
    </row>
    <row r="114" ht="14.25" customHeight="1">
      <c r="A114" s="17" t="str">
        <f t="shared" si="2"/>
        <v/>
      </c>
      <c r="B114" s="13"/>
      <c r="C114" s="13"/>
      <c r="D114" s="13"/>
      <c r="E114" s="13"/>
      <c r="F114" s="13"/>
      <c r="G114" s="13"/>
      <c r="H114" s="13"/>
      <c r="I114" s="13"/>
      <c r="J114" s="13"/>
      <c r="K114" s="13"/>
      <c r="L114" s="13"/>
      <c r="M114" s="15"/>
      <c r="N114" s="15"/>
      <c r="O114" s="15"/>
      <c r="P114" s="15"/>
      <c r="Q114" s="15"/>
      <c r="R114" s="16" t="str">
        <f>IF(COUNT(M114:Q114)&lt;5,"",(M114*Summary!$F$5+N114*Summary!$F$6+O114*Summary!$F$7+P114*Summary!$F$8+Q114*Summary!$F$9)/Summary!$F$10)</f>
        <v/>
      </c>
      <c r="S114" s="17" t="str">
        <f t="shared" si="1"/>
        <v/>
      </c>
      <c r="T114" s="17" t="str">
        <f>IF(S114="","",IF(S114&lt;=Summary!$B$5,"Featured candidate",""))</f>
        <v/>
      </c>
    </row>
    <row r="115" ht="14.25" customHeight="1">
      <c r="A115" s="17" t="str">
        <f t="shared" si="2"/>
        <v/>
      </c>
      <c r="B115" s="13"/>
      <c r="C115" s="13"/>
      <c r="D115" s="13"/>
      <c r="E115" s="13"/>
      <c r="F115" s="13"/>
      <c r="G115" s="13"/>
      <c r="H115" s="13"/>
      <c r="I115" s="13"/>
      <c r="J115" s="13"/>
      <c r="K115" s="13"/>
      <c r="L115" s="13"/>
      <c r="M115" s="15"/>
      <c r="N115" s="15"/>
      <c r="O115" s="15"/>
      <c r="P115" s="15"/>
      <c r="Q115" s="15"/>
      <c r="R115" s="16" t="str">
        <f>IF(COUNT(M115:Q115)&lt;5,"",(M115*Summary!$F$5+N115*Summary!$F$6+O115*Summary!$F$7+P115*Summary!$F$8+Q115*Summary!$F$9)/Summary!$F$10)</f>
        <v/>
      </c>
      <c r="S115" s="17" t="str">
        <f t="shared" si="1"/>
        <v/>
      </c>
      <c r="T115" s="17" t="str">
        <f>IF(S115="","",IF(S115&lt;=Summary!$B$5,"Featured candidate",""))</f>
        <v/>
      </c>
    </row>
    <row r="116" ht="14.25" customHeight="1">
      <c r="A116" s="17" t="str">
        <f t="shared" si="2"/>
        <v/>
      </c>
      <c r="B116" s="13"/>
      <c r="C116" s="13"/>
      <c r="D116" s="13"/>
      <c r="E116" s="13"/>
      <c r="F116" s="13"/>
      <c r="G116" s="13"/>
      <c r="H116" s="13"/>
      <c r="I116" s="13"/>
      <c r="J116" s="13"/>
      <c r="K116" s="13"/>
      <c r="L116" s="13"/>
      <c r="M116" s="15"/>
      <c r="N116" s="15"/>
      <c r="O116" s="15"/>
      <c r="P116" s="15"/>
      <c r="Q116" s="15"/>
      <c r="R116" s="16" t="str">
        <f>IF(COUNT(M116:Q116)&lt;5,"",(M116*Summary!$F$5+N116*Summary!$F$6+O116*Summary!$F$7+P116*Summary!$F$8+Q116*Summary!$F$9)/Summary!$F$10)</f>
        <v/>
      </c>
      <c r="S116" s="17" t="str">
        <f t="shared" si="1"/>
        <v/>
      </c>
      <c r="T116" s="17" t="str">
        <f>IF(S116="","",IF(S116&lt;=Summary!$B$5,"Featured candidate",""))</f>
        <v/>
      </c>
    </row>
    <row r="117" ht="14.25" customHeight="1">
      <c r="A117" s="17" t="str">
        <f t="shared" si="2"/>
        <v/>
      </c>
      <c r="B117" s="13"/>
      <c r="C117" s="13"/>
      <c r="D117" s="13"/>
      <c r="E117" s="13"/>
      <c r="F117" s="13"/>
      <c r="G117" s="13"/>
      <c r="H117" s="13"/>
      <c r="I117" s="13"/>
      <c r="J117" s="13"/>
      <c r="K117" s="13"/>
      <c r="L117" s="13"/>
      <c r="M117" s="15"/>
      <c r="N117" s="15"/>
      <c r="O117" s="15"/>
      <c r="P117" s="15"/>
      <c r="Q117" s="15"/>
      <c r="R117" s="16" t="str">
        <f>IF(COUNT(M117:Q117)&lt;5,"",(M117*Summary!$F$5+N117*Summary!$F$6+O117*Summary!$F$7+P117*Summary!$F$8+Q117*Summary!$F$9)/Summary!$F$10)</f>
        <v/>
      </c>
      <c r="S117" s="17" t="str">
        <f t="shared" si="1"/>
        <v/>
      </c>
      <c r="T117" s="17" t="str">
        <f>IF(S117="","",IF(S117&lt;=Summary!$B$5,"Featured candidate",""))</f>
        <v/>
      </c>
    </row>
    <row r="118" ht="14.25" customHeight="1">
      <c r="A118" s="17" t="str">
        <f t="shared" si="2"/>
        <v/>
      </c>
      <c r="B118" s="13"/>
      <c r="C118" s="13"/>
      <c r="D118" s="13"/>
      <c r="E118" s="13"/>
      <c r="F118" s="13"/>
      <c r="G118" s="13"/>
      <c r="H118" s="13"/>
      <c r="I118" s="13"/>
      <c r="J118" s="13"/>
      <c r="K118" s="13"/>
      <c r="L118" s="13"/>
      <c r="M118" s="15"/>
      <c r="N118" s="15"/>
      <c r="O118" s="15"/>
      <c r="P118" s="15"/>
      <c r="Q118" s="15"/>
      <c r="R118" s="16" t="str">
        <f>IF(COUNT(M118:Q118)&lt;5,"",(M118*Summary!$F$5+N118*Summary!$F$6+O118*Summary!$F$7+P118*Summary!$F$8+Q118*Summary!$F$9)/Summary!$F$10)</f>
        <v/>
      </c>
      <c r="S118" s="17" t="str">
        <f t="shared" si="1"/>
        <v/>
      </c>
      <c r="T118" s="17" t="str">
        <f>IF(S118="","",IF(S118&lt;=Summary!$B$5,"Featured candidate",""))</f>
        <v/>
      </c>
    </row>
    <row r="119" ht="14.25" customHeight="1">
      <c r="A119" s="17" t="str">
        <f t="shared" si="2"/>
        <v/>
      </c>
      <c r="B119" s="13"/>
      <c r="C119" s="13"/>
      <c r="D119" s="13"/>
      <c r="E119" s="13"/>
      <c r="F119" s="13"/>
      <c r="G119" s="13"/>
      <c r="H119" s="13"/>
      <c r="I119" s="13"/>
      <c r="J119" s="13"/>
      <c r="K119" s="13"/>
      <c r="L119" s="13"/>
      <c r="M119" s="15"/>
      <c r="N119" s="15"/>
      <c r="O119" s="15"/>
      <c r="P119" s="15"/>
      <c r="Q119" s="15"/>
      <c r="R119" s="16" t="str">
        <f>IF(COUNT(M119:Q119)&lt;5,"",(M119*Summary!$F$5+N119*Summary!$F$6+O119*Summary!$F$7+P119*Summary!$F$8+Q119*Summary!$F$9)/Summary!$F$10)</f>
        <v/>
      </c>
      <c r="S119" s="17" t="str">
        <f t="shared" si="1"/>
        <v/>
      </c>
      <c r="T119" s="17" t="str">
        <f>IF(S119="","",IF(S119&lt;=Summary!$B$5,"Featured candidate",""))</f>
        <v/>
      </c>
    </row>
    <row r="120" ht="14.25" customHeight="1">
      <c r="A120" s="17" t="str">
        <f t="shared" si="2"/>
        <v/>
      </c>
      <c r="B120" s="13"/>
      <c r="C120" s="13"/>
      <c r="D120" s="13"/>
      <c r="E120" s="13"/>
      <c r="F120" s="13"/>
      <c r="G120" s="13"/>
      <c r="H120" s="13"/>
      <c r="I120" s="13"/>
      <c r="J120" s="13"/>
      <c r="K120" s="13"/>
      <c r="L120" s="13"/>
      <c r="M120" s="15"/>
      <c r="N120" s="15"/>
      <c r="O120" s="15"/>
      <c r="P120" s="15"/>
      <c r="Q120" s="15"/>
      <c r="R120" s="16" t="str">
        <f>IF(COUNT(M120:Q120)&lt;5,"",(M120*Summary!$F$5+N120*Summary!$F$6+O120*Summary!$F$7+P120*Summary!$F$8+Q120*Summary!$F$9)/Summary!$F$10)</f>
        <v/>
      </c>
      <c r="S120" s="17" t="str">
        <f t="shared" si="1"/>
        <v/>
      </c>
      <c r="T120" s="17" t="str">
        <f>IF(S120="","",IF(S120&lt;=Summary!$B$5,"Featured candidate",""))</f>
        <v/>
      </c>
    </row>
    <row r="121" ht="14.25" customHeight="1">
      <c r="A121" s="17" t="str">
        <f t="shared" si="2"/>
        <v/>
      </c>
      <c r="B121" s="13"/>
      <c r="C121" s="13"/>
      <c r="D121" s="13"/>
      <c r="E121" s="13"/>
      <c r="F121" s="13"/>
      <c r="G121" s="13"/>
      <c r="H121" s="13"/>
      <c r="I121" s="13"/>
      <c r="J121" s="13"/>
      <c r="K121" s="13"/>
      <c r="L121" s="13"/>
      <c r="M121" s="15"/>
      <c r="N121" s="15"/>
      <c r="O121" s="15"/>
      <c r="P121" s="15"/>
      <c r="Q121" s="15"/>
      <c r="R121" s="16" t="str">
        <f>IF(COUNT(M121:Q121)&lt;5,"",(M121*Summary!$F$5+N121*Summary!$F$6+O121*Summary!$F$7+P121*Summary!$F$8+Q121*Summary!$F$9)/Summary!$F$10)</f>
        <v/>
      </c>
      <c r="S121" s="17" t="str">
        <f t="shared" si="1"/>
        <v/>
      </c>
      <c r="T121" s="17" t="str">
        <f>IF(S121="","",IF(S121&lt;=Summary!$B$5,"Featured candidate",""))</f>
        <v/>
      </c>
    </row>
    <row r="122" ht="14.25" customHeight="1">
      <c r="A122" s="17" t="str">
        <f t="shared" si="2"/>
        <v/>
      </c>
      <c r="B122" s="13"/>
      <c r="C122" s="13"/>
      <c r="D122" s="13"/>
      <c r="E122" s="13"/>
      <c r="F122" s="13"/>
      <c r="G122" s="13"/>
      <c r="H122" s="13"/>
      <c r="I122" s="13"/>
      <c r="J122" s="13"/>
      <c r="K122" s="13"/>
      <c r="L122" s="13"/>
      <c r="M122" s="15"/>
      <c r="N122" s="15"/>
      <c r="O122" s="15"/>
      <c r="P122" s="15"/>
      <c r="Q122" s="15"/>
      <c r="R122" s="16" t="str">
        <f>IF(COUNT(M122:Q122)&lt;5,"",(M122*Summary!$F$5+N122*Summary!$F$6+O122*Summary!$F$7+P122*Summary!$F$8+Q122*Summary!$F$9)/Summary!$F$10)</f>
        <v/>
      </c>
      <c r="S122" s="17" t="str">
        <f t="shared" si="1"/>
        <v/>
      </c>
      <c r="T122" s="17" t="str">
        <f>IF(S122="","",IF(S122&lt;=Summary!$B$5,"Featured candidate",""))</f>
        <v/>
      </c>
    </row>
    <row r="123" ht="14.25" customHeight="1">
      <c r="A123" s="17" t="str">
        <f t="shared" si="2"/>
        <v/>
      </c>
      <c r="B123" s="13"/>
      <c r="C123" s="13"/>
      <c r="D123" s="13"/>
      <c r="E123" s="13"/>
      <c r="F123" s="13"/>
      <c r="G123" s="13"/>
      <c r="H123" s="13"/>
      <c r="I123" s="13"/>
      <c r="J123" s="13"/>
      <c r="K123" s="13"/>
      <c r="L123" s="13"/>
      <c r="M123" s="15"/>
      <c r="N123" s="15"/>
      <c r="O123" s="15"/>
      <c r="P123" s="15"/>
      <c r="Q123" s="15"/>
      <c r="R123" s="16" t="str">
        <f>IF(COUNT(M123:Q123)&lt;5,"",(M123*Summary!$F$5+N123*Summary!$F$6+O123*Summary!$F$7+P123*Summary!$F$8+Q123*Summary!$F$9)/Summary!$F$10)</f>
        <v/>
      </c>
      <c r="S123" s="17" t="str">
        <f t="shared" si="1"/>
        <v/>
      </c>
      <c r="T123" s="17" t="str">
        <f>IF(S123="","",IF(S123&lt;=Summary!$B$5,"Featured candidate",""))</f>
        <v/>
      </c>
    </row>
    <row r="124" ht="14.25" customHeight="1">
      <c r="A124" s="17" t="str">
        <f t="shared" si="2"/>
        <v/>
      </c>
      <c r="B124" s="13"/>
      <c r="C124" s="13"/>
      <c r="D124" s="13"/>
      <c r="E124" s="13"/>
      <c r="F124" s="13"/>
      <c r="G124" s="13"/>
      <c r="H124" s="13"/>
      <c r="I124" s="13"/>
      <c r="J124" s="13"/>
      <c r="K124" s="13"/>
      <c r="L124" s="13"/>
      <c r="M124" s="15"/>
      <c r="N124" s="15"/>
      <c r="O124" s="15"/>
      <c r="P124" s="15"/>
      <c r="Q124" s="15"/>
      <c r="R124" s="16" t="str">
        <f>IF(COUNT(M124:Q124)&lt;5,"",(M124*Summary!$F$5+N124*Summary!$F$6+O124*Summary!$F$7+P124*Summary!$F$8+Q124*Summary!$F$9)/Summary!$F$10)</f>
        <v/>
      </c>
      <c r="S124" s="17" t="str">
        <f t="shared" si="1"/>
        <v/>
      </c>
      <c r="T124" s="17" t="str">
        <f>IF(S124="","",IF(S124&lt;=Summary!$B$5,"Featured candidate",""))</f>
        <v/>
      </c>
    </row>
    <row r="125" ht="14.25" customHeight="1">
      <c r="A125" s="17" t="str">
        <f t="shared" si="2"/>
        <v/>
      </c>
      <c r="B125" s="13"/>
      <c r="C125" s="13"/>
      <c r="D125" s="13"/>
      <c r="E125" s="13"/>
      <c r="F125" s="13"/>
      <c r="G125" s="13"/>
      <c r="H125" s="13"/>
      <c r="I125" s="13"/>
      <c r="J125" s="13"/>
      <c r="K125" s="13"/>
      <c r="L125" s="13"/>
      <c r="M125" s="15"/>
      <c r="N125" s="15"/>
      <c r="O125" s="15"/>
      <c r="P125" s="15"/>
      <c r="Q125" s="15"/>
      <c r="R125" s="16" t="str">
        <f>IF(COUNT(M125:Q125)&lt;5,"",(M125*Summary!$F$5+N125*Summary!$F$6+O125*Summary!$F$7+P125*Summary!$F$8+Q125*Summary!$F$9)/Summary!$F$10)</f>
        <v/>
      </c>
      <c r="S125" s="17" t="str">
        <f t="shared" si="1"/>
        <v/>
      </c>
      <c r="T125" s="17" t="str">
        <f>IF(S125="","",IF(S125&lt;=Summary!$B$5,"Featured candidate",""))</f>
        <v/>
      </c>
    </row>
    <row r="126" ht="14.25" customHeight="1">
      <c r="A126" s="17" t="str">
        <f t="shared" si="2"/>
        <v/>
      </c>
      <c r="B126" s="13"/>
      <c r="C126" s="13"/>
      <c r="D126" s="13"/>
      <c r="E126" s="13"/>
      <c r="F126" s="13"/>
      <c r="G126" s="13"/>
      <c r="H126" s="13"/>
      <c r="I126" s="13"/>
      <c r="J126" s="13"/>
      <c r="K126" s="13"/>
      <c r="L126" s="13"/>
      <c r="M126" s="15"/>
      <c r="N126" s="15"/>
      <c r="O126" s="15"/>
      <c r="P126" s="15"/>
      <c r="Q126" s="15"/>
      <c r="R126" s="16" t="str">
        <f>IF(COUNT(M126:Q126)&lt;5,"",(M126*Summary!$F$5+N126*Summary!$F$6+O126*Summary!$F$7+P126*Summary!$F$8+Q126*Summary!$F$9)/Summary!$F$10)</f>
        <v/>
      </c>
      <c r="S126" s="17" t="str">
        <f t="shared" si="1"/>
        <v/>
      </c>
      <c r="T126" s="17" t="str">
        <f>IF(S126="","",IF(S126&lt;=Summary!$B$5,"Featured candidate",""))</f>
        <v/>
      </c>
    </row>
    <row r="127" ht="14.25" customHeight="1">
      <c r="A127" s="17" t="str">
        <f t="shared" si="2"/>
        <v/>
      </c>
      <c r="B127" s="13"/>
      <c r="C127" s="13"/>
      <c r="D127" s="13"/>
      <c r="E127" s="13"/>
      <c r="F127" s="13"/>
      <c r="G127" s="13"/>
      <c r="H127" s="13"/>
      <c r="I127" s="13"/>
      <c r="J127" s="13"/>
      <c r="K127" s="13"/>
      <c r="L127" s="13"/>
      <c r="M127" s="15"/>
      <c r="N127" s="15"/>
      <c r="O127" s="15"/>
      <c r="P127" s="15"/>
      <c r="Q127" s="15"/>
      <c r="R127" s="16" t="str">
        <f>IF(COUNT(M127:Q127)&lt;5,"",(M127*Summary!$F$5+N127*Summary!$F$6+O127*Summary!$F$7+P127*Summary!$F$8+Q127*Summary!$F$9)/Summary!$F$10)</f>
        <v/>
      </c>
      <c r="S127" s="17" t="str">
        <f t="shared" si="1"/>
        <v/>
      </c>
      <c r="T127" s="17" t="str">
        <f>IF(S127="","",IF(S127&lt;=Summary!$B$5,"Featured candidate",""))</f>
        <v/>
      </c>
    </row>
    <row r="128" ht="14.25" customHeight="1">
      <c r="A128" s="17" t="str">
        <f t="shared" si="2"/>
        <v/>
      </c>
      <c r="B128" s="13"/>
      <c r="C128" s="13"/>
      <c r="D128" s="13"/>
      <c r="E128" s="13"/>
      <c r="F128" s="13"/>
      <c r="G128" s="13"/>
      <c r="H128" s="13"/>
      <c r="I128" s="13"/>
      <c r="J128" s="13"/>
      <c r="K128" s="13"/>
      <c r="L128" s="13"/>
      <c r="M128" s="15"/>
      <c r="N128" s="15"/>
      <c r="O128" s="15"/>
      <c r="P128" s="15"/>
      <c r="Q128" s="15"/>
      <c r="R128" s="16" t="str">
        <f>IF(COUNT(M128:Q128)&lt;5,"",(M128*Summary!$F$5+N128*Summary!$F$6+O128*Summary!$F$7+P128*Summary!$F$8+Q128*Summary!$F$9)/Summary!$F$10)</f>
        <v/>
      </c>
      <c r="S128" s="17" t="str">
        <f t="shared" si="1"/>
        <v/>
      </c>
      <c r="T128" s="17" t="str">
        <f>IF(S128="","",IF(S128&lt;=Summary!$B$5,"Featured candidate",""))</f>
        <v/>
      </c>
    </row>
    <row r="129" ht="14.25" customHeight="1">
      <c r="A129" s="17" t="str">
        <f t="shared" si="2"/>
        <v/>
      </c>
      <c r="B129" s="13"/>
      <c r="C129" s="13"/>
      <c r="D129" s="13"/>
      <c r="E129" s="13"/>
      <c r="F129" s="13"/>
      <c r="G129" s="13"/>
      <c r="H129" s="13"/>
      <c r="I129" s="13"/>
      <c r="J129" s="13"/>
      <c r="K129" s="13"/>
      <c r="L129" s="13"/>
      <c r="M129" s="15"/>
      <c r="N129" s="15"/>
      <c r="O129" s="15"/>
      <c r="P129" s="15"/>
      <c r="Q129" s="15"/>
      <c r="R129" s="16" t="str">
        <f>IF(COUNT(M129:Q129)&lt;5,"",(M129*Summary!$F$5+N129*Summary!$F$6+O129*Summary!$F$7+P129*Summary!$F$8+Q129*Summary!$F$9)/Summary!$F$10)</f>
        <v/>
      </c>
      <c r="S129" s="17" t="str">
        <f t="shared" si="1"/>
        <v/>
      </c>
      <c r="T129" s="17" t="str">
        <f>IF(S129="","",IF(S129&lt;=Summary!$B$5,"Featured candidate",""))</f>
        <v/>
      </c>
    </row>
    <row r="130" ht="14.25" customHeight="1">
      <c r="A130" s="17" t="str">
        <f t="shared" si="2"/>
        <v/>
      </c>
      <c r="B130" s="13"/>
      <c r="C130" s="13"/>
      <c r="D130" s="13"/>
      <c r="E130" s="13"/>
      <c r="F130" s="13"/>
      <c r="G130" s="13"/>
      <c r="H130" s="13"/>
      <c r="I130" s="13"/>
      <c r="J130" s="13"/>
      <c r="K130" s="13"/>
      <c r="L130" s="13"/>
      <c r="M130" s="15"/>
      <c r="N130" s="15"/>
      <c r="O130" s="15"/>
      <c r="P130" s="15"/>
      <c r="Q130" s="15"/>
      <c r="R130" s="16" t="str">
        <f>IF(COUNT(M130:Q130)&lt;5,"",(M130*Summary!$F$5+N130*Summary!$F$6+O130*Summary!$F$7+P130*Summary!$F$8+Q130*Summary!$F$9)/Summary!$F$10)</f>
        <v/>
      </c>
      <c r="S130" s="17" t="str">
        <f t="shared" si="1"/>
        <v/>
      </c>
      <c r="T130" s="17" t="str">
        <f>IF(S130="","",IF(S130&lt;=Summary!$B$5,"Featured candidate",""))</f>
        <v/>
      </c>
    </row>
    <row r="131" ht="14.25" customHeight="1">
      <c r="A131" s="17" t="str">
        <f t="shared" si="2"/>
        <v/>
      </c>
      <c r="B131" s="13"/>
      <c r="C131" s="13"/>
      <c r="D131" s="13"/>
      <c r="E131" s="13"/>
      <c r="F131" s="13"/>
      <c r="G131" s="13"/>
      <c r="H131" s="13"/>
      <c r="I131" s="13"/>
      <c r="J131" s="13"/>
      <c r="K131" s="13"/>
      <c r="L131" s="13"/>
      <c r="M131" s="15"/>
      <c r="N131" s="15"/>
      <c r="O131" s="15"/>
      <c r="P131" s="15"/>
      <c r="Q131" s="15"/>
      <c r="R131" s="16" t="str">
        <f>IF(COUNT(M131:Q131)&lt;5,"",(M131*Summary!$F$5+N131*Summary!$F$6+O131*Summary!$F$7+P131*Summary!$F$8+Q131*Summary!$F$9)/Summary!$F$10)</f>
        <v/>
      </c>
      <c r="S131" s="17" t="str">
        <f t="shared" si="1"/>
        <v/>
      </c>
      <c r="T131" s="17" t="str">
        <f>IF(S131="","",IF(S131&lt;=Summary!$B$5,"Featured candidate",""))</f>
        <v/>
      </c>
    </row>
    <row r="132" ht="14.25" customHeight="1">
      <c r="A132" s="17" t="str">
        <f t="shared" si="2"/>
        <v/>
      </c>
      <c r="B132" s="13"/>
      <c r="C132" s="13"/>
      <c r="D132" s="13"/>
      <c r="E132" s="13"/>
      <c r="F132" s="13"/>
      <c r="G132" s="13"/>
      <c r="H132" s="13"/>
      <c r="I132" s="13"/>
      <c r="J132" s="13"/>
      <c r="K132" s="13"/>
      <c r="L132" s="13"/>
      <c r="M132" s="15"/>
      <c r="N132" s="15"/>
      <c r="O132" s="15"/>
      <c r="P132" s="15"/>
      <c r="Q132" s="15"/>
      <c r="R132" s="16" t="str">
        <f>IF(COUNT(M132:Q132)&lt;5,"",(M132*Summary!$F$5+N132*Summary!$F$6+O132*Summary!$F$7+P132*Summary!$F$8+Q132*Summary!$F$9)/Summary!$F$10)</f>
        <v/>
      </c>
      <c r="S132" s="17" t="str">
        <f t="shared" si="1"/>
        <v/>
      </c>
      <c r="T132" s="17" t="str">
        <f>IF(S132="","",IF(S132&lt;=Summary!$B$5,"Featured candidate",""))</f>
        <v/>
      </c>
    </row>
    <row r="133" ht="14.25" customHeight="1">
      <c r="A133" s="17" t="str">
        <f t="shared" si="2"/>
        <v/>
      </c>
      <c r="B133" s="13"/>
      <c r="C133" s="13"/>
      <c r="D133" s="13"/>
      <c r="E133" s="13"/>
      <c r="F133" s="13"/>
      <c r="G133" s="13"/>
      <c r="H133" s="13"/>
      <c r="I133" s="13"/>
      <c r="J133" s="13"/>
      <c r="K133" s="13"/>
      <c r="L133" s="13"/>
      <c r="M133" s="15"/>
      <c r="N133" s="15"/>
      <c r="O133" s="15"/>
      <c r="P133" s="15"/>
      <c r="Q133" s="15"/>
      <c r="R133" s="16" t="str">
        <f>IF(COUNT(M133:Q133)&lt;5,"",(M133*Summary!$F$5+N133*Summary!$F$6+O133*Summary!$F$7+P133*Summary!$F$8+Q133*Summary!$F$9)/Summary!$F$10)</f>
        <v/>
      </c>
      <c r="S133" s="17" t="str">
        <f t="shared" si="1"/>
        <v/>
      </c>
      <c r="T133" s="17" t="str">
        <f>IF(S133="","",IF(S133&lt;=Summary!$B$5,"Featured candidate",""))</f>
        <v/>
      </c>
    </row>
    <row r="134" ht="14.25" customHeight="1">
      <c r="A134" s="17" t="str">
        <f t="shared" si="2"/>
        <v/>
      </c>
      <c r="B134" s="13"/>
      <c r="C134" s="13"/>
      <c r="D134" s="13"/>
      <c r="E134" s="13"/>
      <c r="F134" s="13"/>
      <c r="G134" s="13"/>
      <c r="H134" s="13"/>
      <c r="I134" s="13"/>
      <c r="J134" s="13"/>
      <c r="K134" s="13"/>
      <c r="L134" s="13"/>
      <c r="M134" s="15"/>
      <c r="N134" s="15"/>
      <c r="O134" s="15"/>
      <c r="P134" s="15"/>
      <c r="Q134" s="15"/>
      <c r="R134" s="16" t="str">
        <f>IF(COUNT(M134:Q134)&lt;5,"",(M134*Summary!$F$5+N134*Summary!$F$6+O134*Summary!$F$7+P134*Summary!$F$8+Q134*Summary!$F$9)/Summary!$F$10)</f>
        <v/>
      </c>
      <c r="S134" s="17" t="str">
        <f t="shared" si="1"/>
        <v/>
      </c>
      <c r="T134" s="17" t="str">
        <f>IF(S134="","",IF(S134&lt;=Summary!$B$5,"Featured candidate",""))</f>
        <v/>
      </c>
    </row>
    <row r="135" ht="14.25" customHeight="1">
      <c r="A135" s="17" t="str">
        <f t="shared" si="2"/>
        <v/>
      </c>
      <c r="B135" s="13"/>
      <c r="C135" s="13"/>
      <c r="D135" s="13"/>
      <c r="E135" s="13"/>
      <c r="F135" s="13"/>
      <c r="G135" s="13"/>
      <c r="H135" s="13"/>
      <c r="I135" s="13"/>
      <c r="J135" s="13"/>
      <c r="K135" s="13"/>
      <c r="L135" s="13"/>
      <c r="M135" s="15"/>
      <c r="N135" s="15"/>
      <c r="O135" s="15"/>
      <c r="P135" s="15"/>
      <c r="Q135" s="15"/>
      <c r="R135" s="16" t="str">
        <f>IF(COUNT(M135:Q135)&lt;5,"",(M135*Summary!$F$5+N135*Summary!$F$6+O135*Summary!$F$7+P135*Summary!$F$8+Q135*Summary!$F$9)/Summary!$F$10)</f>
        <v/>
      </c>
      <c r="S135" s="17" t="str">
        <f t="shared" si="1"/>
        <v/>
      </c>
      <c r="T135" s="17" t="str">
        <f>IF(S135="","",IF(S135&lt;=Summary!$B$5,"Featured candidate",""))</f>
        <v/>
      </c>
    </row>
    <row r="136" ht="14.25" customHeight="1">
      <c r="A136" s="17" t="str">
        <f t="shared" si="2"/>
        <v/>
      </c>
      <c r="B136" s="13"/>
      <c r="C136" s="13"/>
      <c r="D136" s="13"/>
      <c r="E136" s="13"/>
      <c r="F136" s="13"/>
      <c r="G136" s="13"/>
      <c r="H136" s="13"/>
      <c r="I136" s="13"/>
      <c r="J136" s="13"/>
      <c r="K136" s="13"/>
      <c r="L136" s="13"/>
      <c r="M136" s="15"/>
      <c r="N136" s="15"/>
      <c r="O136" s="15"/>
      <c r="P136" s="15"/>
      <c r="Q136" s="15"/>
      <c r="R136" s="16" t="str">
        <f>IF(COUNT(M136:Q136)&lt;5,"",(M136*Summary!$F$5+N136*Summary!$F$6+O136*Summary!$F$7+P136*Summary!$F$8+Q136*Summary!$F$9)/Summary!$F$10)</f>
        <v/>
      </c>
      <c r="S136" s="17" t="str">
        <f t="shared" si="1"/>
        <v/>
      </c>
      <c r="T136" s="17" t="str">
        <f>IF(S136="","",IF(S136&lt;=Summary!$B$5,"Featured candidate",""))</f>
        <v/>
      </c>
    </row>
    <row r="137" ht="14.25" customHeight="1">
      <c r="A137" s="17" t="str">
        <f t="shared" si="2"/>
        <v/>
      </c>
      <c r="B137" s="13"/>
      <c r="C137" s="13"/>
      <c r="D137" s="13"/>
      <c r="E137" s="13"/>
      <c r="F137" s="13"/>
      <c r="G137" s="13"/>
      <c r="H137" s="13"/>
      <c r="I137" s="13"/>
      <c r="J137" s="13"/>
      <c r="K137" s="13"/>
      <c r="L137" s="13"/>
      <c r="M137" s="15"/>
      <c r="N137" s="15"/>
      <c r="O137" s="15"/>
      <c r="P137" s="15"/>
      <c r="Q137" s="15"/>
      <c r="R137" s="16" t="str">
        <f>IF(COUNT(M137:Q137)&lt;5,"",(M137*Summary!$F$5+N137*Summary!$F$6+O137*Summary!$F$7+P137*Summary!$F$8+Q137*Summary!$F$9)/Summary!$F$10)</f>
        <v/>
      </c>
      <c r="S137" s="17" t="str">
        <f t="shared" si="1"/>
        <v/>
      </c>
      <c r="T137" s="17" t="str">
        <f>IF(S137="","",IF(S137&lt;=Summary!$B$5,"Featured candidate",""))</f>
        <v/>
      </c>
    </row>
    <row r="138" ht="14.25" customHeight="1">
      <c r="A138" s="17" t="str">
        <f t="shared" si="2"/>
        <v/>
      </c>
      <c r="B138" s="13"/>
      <c r="C138" s="13"/>
      <c r="D138" s="13"/>
      <c r="E138" s="13"/>
      <c r="F138" s="13"/>
      <c r="G138" s="13"/>
      <c r="H138" s="13"/>
      <c r="I138" s="13"/>
      <c r="J138" s="13"/>
      <c r="K138" s="13"/>
      <c r="L138" s="13"/>
      <c r="M138" s="15"/>
      <c r="N138" s="15"/>
      <c r="O138" s="15"/>
      <c r="P138" s="15"/>
      <c r="Q138" s="15"/>
      <c r="R138" s="16" t="str">
        <f>IF(COUNT(M138:Q138)&lt;5,"",(M138*Summary!$F$5+N138*Summary!$F$6+O138*Summary!$F$7+P138*Summary!$F$8+Q138*Summary!$F$9)/Summary!$F$10)</f>
        <v/>
      </c>
      <c r="S138" s="17" t="str">
        <f t="shared" si="1"/>
        <v/>
      </c>
      <c r="T138" s="17" t="str">
        <f>IF(S138="","",IF(S138&lt;=Summary!$B$5,"Featured candidate",""))</f>
        <v/>
      </c>
    </row>
    <row r="139" ht="14.25" customHeight="1">
      <c r="A139" s="17" t="str">
        <f t="shared" si="2"/>
        <v/>
      </c>
      <c r="B139" s="13"/>
      <c r="C139" s="13"/>
      <c r="D139" s="13"/>
      <c r="E139" s="13"/>
      <c r="F139" s="13"/>
      <c r="G139" s="13"/>
      <c r="H139" s="13"/>
      <c r="I139" s="13"/>
      <c r="J139" s="13"/>
      <c r="K139" s="13"/>
      <c r="L139" s="13"/>
      <c r="M139" s="15"/>
      <c r="N139" s="15"/>
      <c r="O139" s="15"/>
      <c r="P139" s="15"/>
      <c r="Q139" s="15"/>
      <c r="R139" s="16" t="str">
        <f>IF(COUNT(M139:Q139)&lt;5,"",(M139*Summary!$F$5+N139*Summary!$F$6+O139*Summary!$F$7+P139*Summary!$F$8+Q139*Summary!$F$9)/Summary!$F$10)</f>
        <v/>
      </c>
      <c r="S139" s="17" t="str">
        <f t="shared" si="1"/>
        <v/>
      </c>
      <c r="T139" s="17" t="str">
        <f>IF(S139="","",IF(S139&lt;=Summary!$B$5,"Featured candidate",""))</f>
        <v/>
      </c>
    </row>
    <row r="140" ht="14.25" customHeight="1">
      <c r="A140" s="17" t="str">
        <f t="shared" si="2"/>
        <v/>
      </c>
      <c r="B140" s="13"/>
      <c r="C140" s="13"/>
      <c r="D140" s="13"/>
      <c r="E140" s="13"/>
      <c r="F140" s="13"/>
      <c r="G140" s="13"/>
      <c r="H140" s="13"/>
      <c r="I140" s="13"/>
      <c r="J140" s="13"/>
      <c r="K140" s="13"/>
      <c r="L140" s="13"/>
      <c r="M140" s="15"/>
      <c r="N140" s="15"/>
      <c r="O140" s="15"/>
      <c r="P140" s="15"/>
      <c r="Q140" s="15"/>
      <c r="R140" s="16" t="str">
        <f>IF(COUNT(M140:Q140)&lt;5,"",(M140*Summary!$F$5+N140*Summary!$F$6+O140*Summary!$F$7+P140*Summary!$F$8+Q140*Summary!$F$9)/Summary!$F$10)</f>
        <v/>
      </c>
      <c r="S140" s="17" t="str">
        <f t="shared" si="1"/>
        <v/>
      </c>
      <c r="T140" s="17" t="str">
        <f>IF(S140="","",IF(S140&lt;=Summary!$B$5,"Featured candidate",""))</f>
        <v/>
      </c>
    </row>
    <row r="141" ht="14.25" customHeight="1">
      <c r="A141" s="17" t="str">
        <f t="shared" si="2"/>
        <v/>
      </c>
      <c r="B141" s="13"/>
      <c r="C141" s="13"/>
      <c r="D141" s="13"/>
      <c r="E141" s="13"/>
      <c r="F141" s="13"/>
      <c r="G141" s="13"/>
      <c r="H141" s="13"/>
      <c r="I141" s="13"/>
      <c r="J141" s="13"/>
      <c r="K141" s="13"/>
      <c r="L141" s="13"/>
      <c r="M141" s="15"/>
      <c r="N141" s="15"/>
      <c r="O141" s="15"/>
      <c r="P141" s="15"/>
      <c r="Q141" s="15"/>
      <c r="R141" s="16" t="str">
        <f>IF(COUNT(M141:Q141)&lt;5,"",(M141*Summary!$F$5+N141*Summary!$F$6+O141*Summary!$F$7+P141*Summary!$F$8+Q141*Summary!$F$9)/Summary!$F$10)</f>
        <v/>
      </c>
      <c r="S141" s="17" t="str">
        <f t="shared" si="1"/>
        <v/>
      </c>
      <c r="T141" s="17" t="str">
        <f>IF(S141="","",IF(S141&lt;=Summary!$B$5,"Featured candidate",""))</f>
        <v/>
      </c>
    </row>
    <row r="142" ht="14.25" customHeight="1">
      <c r="A142" s="17" t="str">
        <f t="shared" si="2"/>
        <v/>
      </c>
      <c r="B142" s="13"/>
      <c r="C142" s="13"/>
      <c r="D142" s="13"/>
      <c r="E142" s="13"/>
      <c r="F142" s="13"/>
      <c r="G142" s="13"/>
      <c r="H142" s="13"/>
      <c r="I142" s="13"/>
      <c r="J142" s="13"/>
      <c r="K142" s="13"/>
      <c r="L142" s="13"/>
      <c r="M142" s="15"/>
      <c r="N142" s="15"/>
      <c r="O142" s="15"/>
      <c r="P142" s="15"/>
      <c r="Q142" s="15"/>
      <c r="R142" s="16" t="str">
        <f>IF(COUNT(M142:Q142)&lt;5,"",(M142*Summary!$F$5+N142*Summary!$F$6+O142*Summary!$F$7+P142*Summary!$F$8+Q142*Summary!$F$9)/Summary!$F$10)</f>
        <v/>
      </c>
      <c r="S142" s="17" t="str">
        <f t="shared" si="1"/>
        <v/>
      </c>
      <c r="T142" s="17" t="str">
        <f>IF(S142="","",IF(S142&lt;=Summary!$B$5,"Featured candidate",""))</f>
        <v/>
      </c>
    </row>
    <row r="143" ht="14.25" customHeight="1">
      <c r="A143" s="17" t="str">
        <f t="shared" si="2"/>
        <v/>
      </c>
      <c r="B143" s="13"/>
      <c r="C143" s="13"/>
      <c r="D143" s="13"/>
      <c r="E143" s="13"/>
      <c r="F143" s="13"/>
      <c r="G143" s="13"/>
      <c r="H143" s="13"/>
      <c r="I143" s="13"/>
      <c r="J143" s="13"/>
      <c r="K143" s="13"/>
      <c r="L143" s="13"/>
      <c r="M143" s="15"/>
      <c r="N143" s="15"/>
      <c r="O143" s="15"/>
      <c r="P143" s="15"/>
      <c r="Q143" s="15"/>
      <c r="R143" s="16" t="str">
        <f>IF(COUNT(M143:Q143)&lt;5,"",(M143*Summary!$F$5+N143*Summary!$F$6+O143*Summary!$F$7+P143*Summary!$F$8+Q143*Summary!$F$9)/Summary!$F$10)</f>
        <v/>
      </c>
      <c r="S143" s="17" t="str">
        <f t="shared" si="1"/>
        <v/>
      </c>
      <c r="T143" s="17" t="str">
        <f>IF(S143="","",IF(S143&lt;=Summary!$B$5,"Featured candidate",""))</f>
        <v/>
      </c>
    </row>
    <row r="144" ht="14.25" customHeight="1">
      <c r="A144" s="17" t="str">
        <f t="shared" si="2"/>
        <v/>
      </c>
      <c r="B144" s="13"/>
      <c r="C144" s="13"/>
      <c r="D144" s="13"/>
      <c r="E144" s="13"/>
      <c r="F144" s="13"/>
      <c r="G144" s="13"/>
      <c r="H144" s="13"/>
      <c r="I144" s="13"/>
      <c r="J144" s="13"/>
      <c r="K144" s="13"/>
      <c r="L144" s="13"/>
      <c r="M144" s="15"/>
      <c r="N144" s="15"/>
      <c r="O144" s="15"/>
      <c r="P144" s="15"/>
      <c r="Q144" s="15"/>
      <c r="R144" s="16" t="str">
        <f>IF(COUNT(M144:Q144)&lt;5,"",(M144*Summary!$F$5+N144*Summary!$F$6+O144*Summary!$F$7+P144*Summary!$F$8+Q144*Summary!$F$9)/Summary!$F$10)</f>
        <v/>
      </c>
      <c r="S144" s="17" t="str">
        <f t="shared" si="1"/>
        <v/>
      </c>
      <c r="T144" s="17" t="str">
        <f>IF(S144="","",IF(S144&lt;=Summary!$B$5,"Featured candidate",""))</f>
        <v/>
      </c>
    </row>
    <row r="145" ht="14.25" customHeight="1">
      <c r="A145" s="17" t="str">
        <f t="shared" si="2"/>
        <v/>
      </c>
      <c r="B145" s="13"/>
      <c r="C145" s="13"/>
      <c r="D145" s="13"/>
      <c r="E145" s="13"/>
      <c r="F145" s="13"/>
      <c r="G145" s="13"/>
      <c r="H145" s="13"/>
      <c r="I145" s="13"/>
      <c r="J145" s="13"/>
      <c r="K145" s="13"/>
      <c r="L145" s="13"/>
      <c r="M145" s="15"/>
      <c r="N145" s="15"/>
      <c r="O145" s="15"/>
      <c r="P145" s="15"/>
      <c r="Q145" s="15"/>
      <c r="R145" s="16" t="str">
        <f>IF(COUNT(M145:Q145)&lt;5,"",(M145*Summary!$F$5+N145*Summary!$F$6+O145*Summary!$F$7+P145*Summary!$F$8+Q145*Summary!$F$9)/Summary!$F$10)</f>
        <v/>
      </c>
      <c r="S145" s="17" t="str">
        <f t="shared" si="1"/>
        <v/>
      </c>
      <c r="T145" s="17" t="str">
        <f>IF(S145="","",IF(S145&lt;=Summary!$B$5,"Featured candidate",""))</f>
        <v/>
      </c>
    </row>
    <row r="146" ht="14.25" customHeight="1">
      <c r="A146" s="17" t="str">
        <f t="shared" si="2"/>
        <v/>
      </c>
      <c r="B146" s="13"/>
      <c r="C146" s="13"/>
      <c r="D146" s="13"/>
      <c r="E146" s="13"/>
      <c r="F146" s="13"/>
      <c r="G146" s="13"/>
      <c r="H146" s="13"/>
      <c r="I146" s="13"/>
      <c r="J146" s="13"/>
      <c r="K146" s="13"/>
      <c r="L146" s="13"/>
      <c r="M146" s="15"/>
      <c r="N146" s="15"/>
      <c r="O146" s="15"/>
      <c r="P146" s="15"/>
      <c r="Q146" s="15"/>
      <c r="R146" s="16" t="str">
        <f>IF(COUNT(M146:Q146)&lt;5,"",(M146*Summary!$F$5+N146*Summary!$F$6+O146*Summary!$F$7+P146*Summary!$F$8+Q146*Summary!$F$9)/Summary!$F$10)</f>
        <v/>
      </c>
      <c r="S146" s="17" t="str">
        <f t="shared" si="1"/>
        <v/>
      </c>
      <c r="T146" s="17" t="str">
        <f>IF(S146="","",IF(S146&lt;=Summary!$B$5,"Featured candidate",""))</f>
        <v/>
      </c>
    </row>
    <row r="147" ht="14.25" customHeight="1">
      <c r="A147" s="17" t="str">
        <f t="shared" si="2"/>
        <v/>
      </c>
      <c r="B147" s="13"/>
      <c r="C147" s="13"/>
      <c r="D147" s="13"/>
      <c r="E147" s="13"/>
      <c r="F147" s="13"/>
      <c r="G147" s="13"/>
      <c r="H147" s="13"/>
      <c r="I147" s="13"/>
      <c r="J147" s="13"/>
      <c r="K147" s="13"/>
      <c r="L147" s="13"/>
      <c r="M147" s="15"/>
      <c r="N147" s="15"/>
      <c r="O147" s="15"/>
      <c r="P147" s="15"/>
      <c r="Q147" s="15"/>
      <c r="R147" s="16" t="str">
        <f>IF(COUNT(M147:Q147)&lt;5,"",(M147*Summary!$F$5+N147*Summary!$F$6+O147*Summary!$F$7+P147*Summary!$F$8+Q147*Summary!$F$9)/Summary!$F$10)</f>
        <v/>
      </c>
      <c r="S147" s="17" t="str">
        <f t="shared" si="1"/>
        <v/>
      </c>
      <c r="T147" s="17" t="str">
        <f>IF(S147="","",IF(S147&lt;=Summary!$B$5,"Featured candidate",""))</f>
        <v/>
      </c>
    </row>
    <row r="148" ht="14.25" customHeight="1">
      <c r="A148" s="17" t="str">
        <f t="shared" si="2"/>
        <v/>
      </c>
      <c r="B148" s="13"/>
      <c r="C148" s="13"/>
      <c r="D148" s="13"/>
      <c r="E148" s="13"/>
      <c r="F148" s="13"/>
      <c r="G148" s="13"/>
      <c r="H148" s="13"/>
      <c r="I148" s="13"/>
      <c r="J148" s="13"/>
      <c r="K148" s="13"/>
      <c r="L148" s="13"/>
      <c r="M148" s="15"/>
      <c r="N148" s="15"/>
      <c r="O148" s="15"/>
      <c r="P148" s="15"/>
      <c r="Q148" s="15"/>
      <c r="R148" s="16" t="str">
        <f>IF(COUNT(M148:Q148)&lt;5,"",(M148*Summary!$F$5+N148*Summary!$F$6+O148*Summary!$F$7+P148*Summary!$F$8+Q148*Summary!$F$9)/Summary!$F$10)</f>
        <v/>
      </c>
      <c r="S148" s="17" t="str">
        <f t="shared" si="1"/>
        <v/>
      </c>
      <c r="T148" s="17" t="str">
        <f>IF(S148="","",IF(S148&lt;=Summary!$B$5,"Featured candidate",""))</f>
        <v/>
      </c>
    </row>
    <row r="149" ht="14.25" customHeight="1">
      <c r="A149" s="17" t="str">
        <f t="shared" si="2"/>
        <v/>
      </c>
      <c r="B149" s="13"/>
      <c r="C149" s="13"/>
      <c r="D149" s="13"/>
      <c r="E149" s="13"/>
      <c r="F149" s="13"/>
      <c r="G149" s="13"/>
      <c r="H149" s="13"/>
      <c r="I149" s="13"/>
      <c r="J149" s="13"/>
      <c r="K149" s="13"/>
      <c r="L149" s="13"/>
      <c r="M149" s="15"/>
      <c r="N149" s="15"/>
      <c r="O149" s="15"/>
      <c r="P149" s="15"/>
      <c r="Q149" s="15"/>
      <c r="R149" s="16" t="str">
        <f>IF(COUNT(M149:Q149)&lt;5,"",(M149*Summary!$F$5+N149*Summary!$F$6+O149*Summary!$F$7+P149*Summary!$F$8+Q149*Summary!$F$9)/Summary!$F$10)</f>
        <v/>
      </c>
      <c r="S149" s="17" t="str">
        <f t="shared" si="1"/>
        <v/>
      </c>
      <c r="T149" s="17" t="str">
        <f>IF(S149="","",IF(S149&lt;=Summary!$B$5,"Featured candidate",""))</f>
        <v/>
      </c>
    </row>
    <row r="150" ht="14.25" customHeight="1">
      <c r="A150" s="17" t="str">
        <f t="shared" si="2"/>
        <v/>
      </c>
      <c r="B150" s="13"/>
      <c r="C150" s="13"/>
      <c r="D150" s="13"/>
      <c r="E150" s="13"/>
      <c r="F150" s="13"/>
      <c r="G150" s="13"/>
      <c r="H150" s="13"/>
      <c r="I150" s="13"/>
      <c r="J150" s="13"/>
      <c r="K150" s="13"/>
      <c r="L150" s="13"/>
      <c r="M150" s="15"/>
      <c r="N150" s="15"/>
      <c r="O150" s="15"/>
      <c r="P150" s="15"/>
      <c r="Q150" s="15"/>
      <c r="R150" s="16" t="str">
        <f>IF(COUNT(M150:Q150)&lt;5,"",(M150*Summary!$F$5+N150*Summary!$F$6+O150*Summary!$F$7+P150*Summary!$F$8+Q150*Summary!$F$9)/Summary!$F$10)</f>
        <v/>
      </c>
      <c r="S150" s="17" t="str">
        <f t="shared" si="1"/>
        <v/>
      </c>
      <c r="T150" s="17" t="str">
        <f>IF(S150="","",IF(S150&lt;=Summary!$B$5,"Featured candidate",""))</f>
        <v/>
      </c>
    </row>
    <row r="151" ht="14.25" customHeight="1">
      <c r="A151" s="17" t="str">
        <f t="shared" si="2"/>
        <v/>
      </c>
      <c r="B151" s="13"/>
      <c r="C151" s="13"/>
      <c r="D151" s="13"/>
      <c r="E151" s="13"/>
      <c r="F151" s="13"/>
      <c r="G151" s="13"/>
      <c r="H151" s="13"/>
      <c r="I151" s="13"/>
      <c r="J151" s="13"/>
      <c r="K151" s="13"/>
      <c r="L151" s="13"/>
      <c r="M151" s="15"/>
      <c r="N151" s="15"/>
      <c r="O151" s="15"/>
      <c r="P151" s="15"/>
      <c r="Q151" s="15"/>
      <c r="R151" s="16" t="str">
        <f>IF(COUNT(M151:Q151)&lt;5,"",(M151*Summary!$F$5+N151*Summary!$F$6+O151*Summary!$F$7+P151*Summary!$F$8+Q151*Summary!$F$9)/Summary!$F$10)</f>
        <v/>
      </c>
      <c r="S151" s="17" t="str">
        <f t="shared" si="1"/>
        <v/>
      </c>
      <c r="T151" s="17" t="str">
        <f>IF(S151="","",IF(S151&lt;=Summary!$B$5,"Featured candidate",""))</f>
        <v/>
      </c>
    </row>
    <row r="152" ht="14.25" customHeight="1">
      <c r="A152" s="17" t="str">
        <f t="shared" si="2"/>
        <v/>
      </c>
      <c r="B152" s="13"/>
      <c r="C152" s="13"/>
      <c r="D152" s="13"/>
      <c r="E152" s="13"/>
      <c r="F152" s="13"/>
      <c r="G152" s="13"/>
      <c r="H152" s="13"/>
      <c r="I152" s="13"/>
      <c r="J152" s="13"/>
      <c r="K152" s="13"/>
      <c r="L152" s="13"/>
      <c r="M152" s="15"/>
      <c r="N152" s="15"/>
      <c r="O152" s="15"/>
      <c r="P152" s="15"/>
      <c r="Q152" s="15"/>
      <c r="R152" s="16" t="str">
        <f>IF(COUNT(M152:Q152)&lt;5,"",(M152*Summary!$F$5+N152*Summary!$F$6+O152*Summary!$F$7+P152*Summary!$F$8+Q152*Summary!$F$9)/Summary!$F$10)</f>
        <v/>
      </c>
      <c r="S152" s="17" t="str">
        <f t="shared" si="1"/>
        <v/>
      </c>
      <c r="T152" s="17" t="str">
        <f>IF(S152="","",IF(S152&lt;=Summary!$B$5,"Featured candidate",""))</f>
        <v/>
      </c>
    </row>
    <row r="153" ht="14.25" customHeight="1">
      <c r="A153" s="17" t="str">
        <f t="shared" si="2"/>
        <v/>
      </c>
      <c r="B153" s="13"/>
      <c r="C153" s="13"/>
      <c r="D153" s="13"/>
      <c r="E153" s="13"/>
      <c r="F153" s="13"/>
      <c r="G153" s="13"/>
      <c r="H153" s="13"/>
      <c r="I153" s="13"/>
      <c r="J153" s="13"/>
      <c r="K153" s="13"/>
      <c r="L153" s="13"/>
      <c r="M153" s="15"/>
      <c r="N153" s="15"/>
      <c r="O153" s="15"/>
      <c r="P153" s="15"/>
      <c r="Q153" s="15"/>
      <c r="R153" s="16" t="str">
        <f>IF(COUNT(M153:Q153)&lt;5,"",(M153*Summary!$F$5+N153*Summary!$F$6+O153*Summary!$F$7+P153*Summary!$F$8+Q153*Summary!$F$9)/Summary!$F$10)</f>
        <v/>
      </c>
      <c r="S153" s="17" t="str">
        <f t="shared" si="1"/>
        <v/>
      </c>
      <c r="T153" s="17" t="str">
        <f>IF(S153="","",IF(S153&lt;=Summary!$B$5,"Featured candidate",""))</f>
        <v/>
      </c>
    </row>
    <row r="154" ht="14.25" customHeight="1">
      <c r="A154" s="17" t="str">
        <f t="shared" si="2"/>
        <v/>
      </c>
      <c r="B154" s="13"/>
      <c r="C154" s="13"/>
      <c r="D154" s="13"/>
      <c r="E154" s="13"/>
      <c r="F154" s="13"/>
      <c r="G154" s="13"/>
      <c r="H154" s="13"/>
      <c r="I154" s="13"/>
      <c r="J154" s="13"/>
      <c r="K154" s="13"/>
      <c r="L154" s="13"/>
      <c r="M154" s="15"/>
      <c r="N154" s="15"/>
      <c r="O154" s="15"/>
      <c r="P154" s="15"/>
      <c r="Q154" s="15"/>
      <c r="R154" s="16" t="str">
        <f>IF(COUNT(M154:Q154)&lt;5,"",(M154*Summary!$F$5+N154*Summary!$F$6+O154*Summary!$F$7+P154*Summary!$F$8+Q154*Summary!$F$9)/Summary!$F$10)</f>
        <v/>
      </c>
      <c r="S154" s="17" t="str">
        <f t="shared" si="1"/>
        <v/>
      </c>
      <c r="T154" s="17" t="str">
        <f>IF(S154="","",IF(S154&lt;=Summary!$B$5,"Featured candidate",""))</f>
        <v/>
      </c>
    </row>
    <row r="155" ht="14.25" customHeight="1">
      <c r="A155" s="17" t="str">
        <f t="shared" si="2"/>
        <v/>
      </c>
      <c r="B155" s="13"/>
      <c r="C155" s="13"/>
      <c r="D155" s="13"/>
      <c r="E155" s="13"/>
      <c r="F155" s="13"/>
      <c r="G155" s="13"/>
      <c r="H155" s="13"/>
      <c r="I155" s="13"/>
      <c r="J155" s="13"/>
      <c r="K155" s="13"/>
      <c r="L155" s="13"/>
      <c r="M155" s="15"/>
      <c r="N155" s="15"/>
      <c r="O155" s="15"/>
      <c r="P155" s="15"/>
      <c r="Q155" s="15"/>
      <c r="R155" s="16" t="str">
        <f>IF(COUNT(M155:Q155)&lt;5,"",(M155*Summary!$F$5+N155*Summary!$F$6+O155*Summary!$F$7+P155*Summary!$F$8+Q155*Summary!$F$9)/Summary!$F$10)</f>
        <v/>
      </c>
      <c r="S155" s="17" t="str">
        <f t="shared" si="1"/>
        <v/>
      </c>
      <c r="T155" s="17" t="str">
        <f>IF(S155="","",IF(S155&lt;=Summary!$B$5,"Featured candidate",""))</f>
        <v/>
      </c>
    </row>
    <row r="156" ht="14.25" customHeight="1">
      <c r="A156" s="17" t="str">
        <f t="shared" si="2"/>
        <v/>
      </c>
      <c r="B156" s="13"/>
      <c r="C156" s="13"/>
      <c r="D156" s="13"/>
      <c r="E156" s="13"/>
      <c r="F156" s="13"/>
      <c r="G156" s="13"/>
      <c r="H156" s="13"/>
      <c r="I156" s="13"/>
      <c r="J156" s="13"/>
      <c r="K156" s="13"/>
      <c r="L156" s="13"/>
      <c r="M156" s="15"/>
      <c r="N156" s="15"/>
      <c r="O156" s="15"/>
      <c r="P156" s="15"/>
      <c r="Q156" s="15"/>
      <c r="R156" s="16" t="str">
        <f>IF(COUNT(M156:Q156)&lt;5,"",(M156*Summary!$F$5+N156*Summary!$F$6+O156*Summary!$F$7+P156*Summary!$F$8+Q156*Summary!$F$9)/Summary!$F$10)</f>
        <v/>
      </c>
      <c r="S156" s="17" t="str">
        <f t="shared" si="1"/>
        <v/>
      </c>
      <c r="T156" s="17" t="str">
        <f>IF(S156="","",IF(S156&lt;=Summary!$B$5,"Featured candidate",""))</f>
        <v/>
      </c>
    </row>
    <row r="157" ht="14.25" customHeight="1">
      <c r="A157" s="17" t="str">
        <f t="shared" si="2"/>
        <v/>
      </c>
      <c r="B157" s="13"/>
      <c r="C157" s="13"/>
      <c r="D157" s="13"/>
      <c r="E157" s="13"/>
      <c r="F157" s="13"/>
      <c r="G157" s="13"/>
      <c r="H157" s="13"/>
      <c r="I157" s="13"/>
      <c r="J157" s="13"/>
      <c r="K157" s="13"/>
      <c r="L157" s="13"/>
      <c r="M157" s="15"/>
      <c r="N157" s="15"/>
      <c r="O157" s="15"/>
      <c r="P157" s="15"/>
      <c r="Q157" s="15"/>
      <c r="R157" s="16" t="str">
        <f>IF(COUNT(M157:Q157)&lt;5,"",(M157*Summary!$F$5+N157*Summary!$F$6+O157*Summary!$F$7+P157*Summary!$F$8+Q157*Summary!$F$9)/Summary!$F$10)</f>
        <v/>
      </c>
      <c r="S157" s="17" t="str">
        <f t="shared" si="1"/>
        <v/>
      </c>
      <c r="T157" s="17" t="str">
        <f>IF(S157="","",IF(S157&lt;=Summary!$B$5,"Featured candidate",""))</f>
        <v/>
      </c>
    </row>
    <row r="158" ht="14.25" customHeight="1">
      <c r="A158" s="17" t="str">
        <f t="shared" si="2"/>
        <v/>
      </c>
      <c r="B158" s="13"/>
      <c r="C158" s="13"/>
      <c r="D158" s="13"/>
      <c r="E158" s="13"/>
      <c r="F158" s="13"/>
      <c r="G158" s="13"/>
      <c r="H158" s="13"/>
      <c r="I158" s="13"/>
      <c r="J158" s="13"/>
      <c r="K158" s="13"/>
      <c r="L158" s="13"/>
      <c r="M158" s="15"/>
      <c r="N158" s="15"/>
      <c r="O158" s="15"/>
      <c r="P158" s="15"/>
      <c r="Q158" s="15"/>
      <c r="R158" s="16" t="str">
        <f>IF(COUNT(M158:Q158)&lt;5,"",(M158*Summary!$F$5+N158*Summary!$F$6+O158*Summary!$F$7+P158*Summary!$F$8+Q158*Summary!$F$9)/Summary!$F$10)</f>
        <v/>
      </c>
      <c r="S158" s="17" t="str">
        <f t="shared" si="1"/>
        <v/>
      </c>
      <c r="T158" s="17" t="str">
        <f>IF(S158="","",IF(S158&lt;=Summary!$B$5,"Featured candidate",""))</f>
        <v/>
      </c>
    </row>
    <row r="159" ht="14.25" customHeight="1">
      <c r="A159" s="17" t="str">
        <f t="shared" si="2"/>
        <v/>
      </c>
      <c r="B159" s="13"/>
      <c r="C159" s="13"/>
      <c r="D159" s="13"/>
      <c r="E159" s="13"/>
      <c r="F159" s="13"/>
      <c r="G159" s="13"/>
      <c r="H159" s="13"/>
      <c r="I159" s="13"/>
      <c r="J159" s="13"/>
      <c r="K159" s="13"/>
      <c r="L159" s="13"/>
      <c r="M159" s="15"/>
      <c r="N159" s="15"/>
      <c r="O159" s="15"/>
      <c r="P159" s="15"/>
      <c r="Q159" s="15"/>
      <c r="R159" s="16" t="str">
        <f>IF(COUNT(M159:Q159)&lt;5,"",(M159*Summary!$F$5+N159*Summary!$F$6+O159*Summary!$F$7+P159*Summary!$F$8+Q159*Summary!$F$9)/Summary!$F$10)</f>
        <v/>
      </c>
      <c r="S159" s="17" t="str">
        <f t="shared" si="1"/>
        <v/>
      </c>
      <c r="T159" s="17" t="str">
        <f>IF(S159="","",IF(S159&lt;=Summary!$B$5,"Featured candidate",""))</f>
        <v/>
      </c>
    </row>
    <row r="160" ht="14.25" customHeight="1">
      <c r="A160" s="17" t="str">
        <f t="shared" si="2"/>
        <v/>
      </c>
      <c r="B160" s="13"/>
      <c r="C160" s="13"/>
      <c r="D160" s="13"/>
      <c r="E160" s="13"/>
      <c r="F160" s="13"/>
      <c r="G160" s="13"/>
      <c r="H160" s="13"/>
      <c r="I160" s="13"/>
      <c r="J160" s="13"/>
      <c r="K160" s="13"/>
      <c r="L160" s="13"/>
      <c r="M160" s="15"/>
      <c r="N160" s="15"/>
      <c r="O160" s="15"/>
      <c r="P160" s="15"/>
      <c r="Q160" s="15"/>
      <c r="R160" s="16" t="str">
        <f>IF(COUNT(M160:Q160)&lt;5,"",(M160*Summary!$F$5+N160*Summary!$F$6+O160*Summary!$F$7+P160*Summary!$F$8+Q160*Summary!$F$9)/Summary!$F$10)</f>
        <v/>
      </c>
      <c r="S160" s="17" t="str">
        <f t="shared" si="1"/>
        <v/>
      </c>
      <c r="T160" s="17" t="str">
        <f>IF(S160="","",IF(S160&lt;=Summary!$B$5,"Featured candidate",""))</f>
        <v/>
      </c>
    </row>
    <row r="161" ht="14.25" customHeight="1">
      <c r="A161" s="17" t="str">
        <f t="shared" si="2"/>
        <v/>
      </c>
      <c r="B161" s="13"/>
      <c r="C161" s="13"/>
      <c r="D161" s="13"/>
      <c r="E161" s="13"/>
      <c r="F161" s="13"/>
      <c r="G161" s="13"/>
      <c r="H161" s="13"/>
      <c r="I161" s="13"/>
      <c r="J161" s="13"/>
      <c r="K161" s="13"/>
      <c r="L161" s="13"/>
      <c r="M161" s="15"/>
      <c r="N161" s="15"/>
      <c r="O161" s="15"/>
      <c r="P161" s="15"/>
      <c r="Q161" s="15"/>
      <c r="R161" s="16" t="str">
        <f>IF(COUNT(M161:Q161)&lt;5,"",(M161*Summary!$F$5+N161*Summary!$F$6+O161*Summary!$F$7+P161*Summary!$F$8+Q161*Summary!$F$9)/Summary!$F$10)</f>
        <v/>
      </c>
      <c r="S161" s="17" t="str">
        <f t="shared" si="1"/>
        <v/>
      </c>
      <c r="T161" s="17" t="str">
        <f>IF(S161="","",IF(S161&lt;=Summary!$B$5,"Featured candidate",""))</f>
        <v/>
      </c>
    </row>
    <row r="162" ht="14.25" customHeight="1">
      <c r="A162" s="17" t="str">
        <f t="shared" si="2"/>
        <v/>
      </c>
      <c r="B162" s="13"/>
      <c r="C162" s="13"/>
      <c r="D162" s="13"/>
      <c r="E162" s="13"/>
      <c r="F162" s="13"/>
      <c r="G162" s="13"/>
      <c r="H162" s="13"/>
      <c r="I162" s="13"/>
      <c r="J162" s="13"/>
      <c r="K162" s="13"/>
      <c r="L162" s="13"/>
      <c r="M162" s="15"/>
      <c r="N162" s="15"/>
      <c r="O162" s="15"/>
      <c r="P162" s="15"/>
      <c r="Q162" s="15"/>
      <c r="R162" s="16" t="str">
        <f>IF(COUNT(M162:Q162)&lt;5,"",(M162*Summary!$F$5+N162*Summary!$F$6+O162*Summary!$F$7+P162*Summary!$F$8+Q162*Summary!$F$9)/Summary!$F$10)</f>
        <v/>
      </c>
      <c r="S162" s="17" t="str">
        <f t="shared" si="1"/>
        <v/>
      </c>
      <c r="T162" s="17" t="str">
        <f>IF(S162="","",IF(S162&lt;=Summary!$B$5,"Featured candidate",""))</f>
        <v/>
      </c>
    </row>
    <row r="163" ht="14.25" customHeight="1">
      <c r="A163" s="17" t="str">
        <f t="shared" si="2"/>
        <v/>
      </c>
      <c r="B163" s="13"/>
      <c r="C163" s="13"/>
      <c r="D163" s="13"/>
      <c r="E163" s="13"/>
      <c r="F163" s="13"/>
      <c r="G163" s="13"/>
      <c r="H163" s="13"/>
      <c r="I163" s="13"/>
      <c r="J163" s="13"/>
      <c r="K163" s="13"/>
      <c r="L163" s="13"/>
      <c r="M163" s="15"/>
      <c r="N163" s="15"/>
      <c r="O163" s="15"/>
      <c r="P163" s="15"/>
      <c r="Q163" s="15"/>
      <c r="R163" s="16" t="str">
        <f>IF(COUNT(M163:Q163)&lt;5,"",(M163*Summary!$F$5+N163*Summary!$F$6+O163*Summary!$F$7+P163*Summary!$F$8+Q163*Summary!$F$9)/Summary!$F$10)</f>
        <v/>
      </c>
      <c r="S163" s="17" t="str">
        <f t="shared" si="1"/>
        <v/>
      </c>
      <c r="T163" s="17" t="str">
        <f>IF(S163="","",IF(S163&lt;=Summary!$B$5,"Featured candidate",""))</f>
        <v/>
      </c>
    </row>
    <row r="164" ht="14.25" customHeight="1">
      <c r="A164" s="17" t="str">
        <f t="shared" si="2"/>
        <v/>
      </c>
      <c r="B164" s="13"/>
      <c r="C164" s="13"/>
      <c r="D164" s="13"/>
      <c r="E164" s="13"/>
      <c r="F164" s="13"/>
      <c r="G164" s="13"/>
      <c r="H164" s="13"/>
      <c r="I164" s="13"/>
      <c r="J164" s="13"/>
      <c r="K164" s="13"/>
      <c r="L164" s="13"/>
      <c r="M164" s="15"/>
      <c r="N164" s="15"/>
      <c r="O164" s="15"/>
      <c r="P164" s="15"/>
      <c r="Q164" s="15"/>
      <c r="R164" s="16" t="str">
        <f>IF(COUNT(M164:Q164)&lt;5,"",(M164*Summary!$F$5+N164*Summary!$F$6+O164*Summary!$F$7+P164*Summary!$F$8+Q164*Summary!$F$9)/Summary!$F$10)</f>
        <v/>
      </c>
      <c r="S164" s="17" t="str">
        <f t="shared" si="1"/>
        <v/>
      </c>
      <c r="T164" s="17" t="str">
        <f>IF(S164="","",IF(S164&lt;=Summary!$B$5,"Featured candidate",""))</f>
        <v/>
      </c>
    </row>
    <row r="165" ht="14.25" customHeight="1">
      <c r="A165" s="17" t="str">
        <f t="shared" si="2"/>
        <v/>
      </c>
      <c r="B165" s="13"/>
      <c r="C165" s="13"/>
      <c r="D165" s="13"/>
      <c r="E165" s="13"/>
      <c r="F165" s="13"/>
      <c r="G165" s="13"/>
      <c r="H165" s="13"/>
      <c r="I165" s="13"/>
      <c r="J165" s="13"/>
      <c r="K165" s="13"/>
      <c r="L165" s="13"/>
      <c r="M165" s="15"/>
      <c r="N165" s="15"/>
      <c r="O165" s="15"/>
      <c r="P165" s="15"/>
      <c r="Q165" s="15"/>
      <c r="R165" s="16" t="str">
        <f>IF(COUNT(M165:Q165)&lt;5,"",(M165*Summary!$F$5+N165*Summary!$F$6+O165*Summary!$F$7+P165*Summary!$F$8+Q165*Summary!$F$9)/Summary!$F$10)</f>
        <v/>
      </c>
      <c r="S165" s="17" t="str">
        <f t="shared" si="1"/>
        <v/>
      </c>
      <c r="T165" s="17" t="str">
        <f>IF(S165="","",IF(S165&lt;=Summary!$B$5,"Featured candidate",""))</f>
        <v/>
      </c>
    </row>
    <row r="166" ht="14.25" customHeight="1">
      <c r="A166" s="17" t="str">
        <f t="shared" si="2"/>
        <v/>
      </c>
      <c r="B166" s="13"/>
      <c r="C166" s="13"/>
      <c r="D166" s="13"/>
      <c r="E166" s="13"/>
      <c r="F166" s="13"/>
      <c r="G166" s="13"/>
      <c r="H166" s="13"/>
      <c r="I166" s="13"/>
      <c r="J166" s="13"/>
      <c r="K166" s="13"/>
      <c r="L166" s="13"/>
      <c r="M166" s="15"/>
      <c r="N166" s="15"/>
      <c r="O166" s="15"/>
      <c r="P166" s="15"/>
      <c r="Q166" s="15"/>
      <c r="R166" s="16" t="str">
        <f>IF(COUNT(M166:Q166)&lt;5,"",(M166*Summary!$F$5+N166*Summary!$F$6+O166*Summary!$F$7+P166*Summary!$F$8+Q166*Summary!$F$9)/Summary!$F$10)</f>
        <v/>
      </c>
      <c r="S166" s="17" t="str">
        <f t="shared" si="1"/>
        <v/>
      </c>
      <c r="T166" s="17" t="str">
        <f>IF(S166="","",IF(S166&lt;=Summary!$B$5,"Featured candidate",""))</f>
        <v/>
      </c>
    </row>
    <row r="167" ht="14.25" customHeight="1">
      <c r="A167" s="17" t="str">
        <f t="shared" si="2"/>
        <v/>
      </c>
      <c r="B167" s="13"/>
      <c r="C167" s="13"/>
      <c r="D167" s="13"/>
      <c r="E167" s="13"/>
      <c r="F167" s="13"/>
      <c r="G167" s="13"/>
      <c r="H167" s="13"/>
      <c r="I167" s="13"/>
      <c r="J167" s="13"/>
      <c r="K167" s="13"/>
      <c r="L167" s="13"/>
      <c r="M167" s="15"/>
      <c r="N167" s="15"/>
      <c r="O167" s="15"/>
      <c r="P167" s="15"/>
      <c r="Q167" s="15"/>
      <c r="R167" s="16" t="str">
        <f>IF(COUNT(M167:Q167)&lt;5,"",(M167*Summary!$F$5+N167*Summary!$F$6+O167*Summary!$F$7+P167*Summary!$F$8+Q167*Summary!$F$9)/Summary!$F$10)</f>
        <v/>
      </c>
      <c r="S167" s="17" t="str">
        <f t="shared" si="1"/>
        <v/>
      </c>
      <c r="T167" s="17" t="str">
        <f>IF(S167="","",IF(S167&lt;=Summary!$B$5,"Featured candidate",""))</f>
        <v/>
      </c>
    </row>
    <row r="168" ht="14.25" customHeight="1">
      <c r="A168" s="17" t="str">
        <f t="shared" si="2"/>
        <v/>
      </c>
      <c r="B168" s="13"/>
      <c r="C168" s="13"/>
      <c r="D168" s="13"/>
      <c r="E168" s="13"/>
      <c r="F168" s="13"/>
      <c r="G168" s="13"/>
      <c r="H168" s="13"/>
      <c r="I168" s="13"/>
      <c r="J168" s="13"/>
      <c r="K168" s="13"/>
      <c r="L168" s="13"/>
      <c r="M168" s="15"/>
      <c r="N168" s="15"/>
      <c r="O168" s="15"/>
      <c r="P168" s="15"/>
      <c r="Q168" s="15"/>
      <c r="R168" s="16" t="str">
        <f>IF(COUNT(M168:Q168)&lt;5,"",(M168*Summary!$F$5+N168*Summary!$F$6+O168*Summary!$F$7+P168*Summary!$F$8+Q168*Summary!$F$9)/Summary!$F$10)</f>
        <v/>
      </c>
      <c r="S168" s="17" t="str">
        <f t="shared" si="1"/>
        <v/>
      </c>
      <c r="T168" s="17" t="str">
        <f>IF(S168="","",IF(S168&lt;=Summary!$B$5,"Featured candidate",""))</f>
        <v/>
      </c>
    </row>
    <row r="169" ht="14.25" customHeight="1">
      <c r="A169" s="17" t="str">
        <f t="shared" si="2"/>
        <v/>
      </c>
      <c r="B169" s="13"/>
      <c r="C169" s="13"/>
      <c r="D169" s="13"/>
      <c r="E169" s="13"/>
      <c r="F169" s="13"/>
      <c r="G169" s="13"/>
      <c r="H169" s="13"/>
      <c r="I169" s="13"/>
      <c r="J169" s="13"/>
      <c r="K169" s="13"/>
      <c r="L169" s="13"/>
      <c r="M169" s="15"/>
      <c r="N169" s="15"/>
      <c r="O169" s="15"/>
      <c r="P169" s="15"/>
      <c r="Q169" s="15"/>
      <c r="R169" s="16" t="str">
        <f>IF(COUNT(M169:Q169)&lt;5,"",(M169*Summary!$F$5+N169*Summary!$F$6+O169*Summary!$F$7+P169*Summary!$F$8+Q169*Summary!$F$9)/Summary!$F$10)</f>
        <v/>
      </c>
      <c r="S169" s="17" t="str">
        <f t="shared" si="1"/>
        <v/>
      </c>
      <c r="T169" s="17" t="str">
        <f>IF(S169="","",IF(S169&lt;=Summary!$B$5,"Featured candidate",""))</f>
        <v/>
      </c>
    </row>
    <row r="170" ht="14.25" customHeight="1">
      <c r="A170" s="17" t="str">
        <f t="shared" si="2"/>
        <v/>
      </c>
      <c r="B170" s="13"/>
      <c r="C170" s="13"/>
      <c r="D170" s="13"/>
      <c r="E170" s="13"/>
      <c r="F170" s="13"/>
      <c r="G170" s="13"/>
      <c r="H170" s="13"/>
      <c r="I170" s="13"/>
      <c r="J170" s="13"/>
      <c r="K170" s="13"/>
      <c r="L170" s="13"/>
      <c r="M170" s="15"/>
      <c r="N170" s="15"/>
      <c r="O170" s="15"/>
      <c r="P170" s="15"/>
      <c r="Q170" s="15"/>
      <c r="R170" s="16" t="str">
        <f>IF(COUNT(M170:Q170)&lt;5,"",(M170*Summary!$F$5+N170*Summary!$F$6+O170*Summary!$F$7+P170*Summary!$F$8+Q170*Summary!$F$9)/Summary!$F$10)</f>
        <v/>
      </c>
      <c r="S170" s="17" t="str">
        <f t="shared" si="1"/>
        <v/>
      </c>
      <c r="T170" s="17" t="str">
        <f>IF(S170="","",IF(S170&lt;=Summary!$B$5,"Featured candidate",""))</f>
        <v/>
      </c>
    </row>
    <row r="171" ht="14.25" customHeight="1">
      <c r="A171" s="17" t="str">
        <f t="shared" si="2"/>
        <v/>
      </c>
      <c r="B171" s="13"/>
      <c r="C171" s="13"/>
      <c r="D171" s="13"/>
      <c r="E171" s="13"/>
      <c r="F171" s="13"/>
      <c r="G171" s="13"/>
      <c r="H171" s="13"/>
      <c r="I171" s="13"/>
      <c r="J171" s="13"/>
      <c r="K171" s="13"/>
      <c r="L171" s="13"/>
      <c r="M171" s="15"/>
      <c r="N171" s="15"/>
      <c r="O171" s="15"/>
      <c r="P171" s="15"/>
      <c r="Q171" s="15"/>
      <c r="R171" s="16" t="str">
        <f>IF(COUNT(M171:Q171)&lt;5,"",(M171*Summary!$F$5+N171*Summary!$F$6+O171*Summary!$F$7+P171*Summary!$F$8+Q171*Summary!$F$9)/Summary!$F$10)</f>
        <v/>
      </c>
      <c r="S171" s="17" t="str">
        <f t="shared" si="1"/>
        <v/>
      </c>
      <c r="T171" s="17" t="str">
        <f>IF(S171="","",IF(S171&lt;=Summary!$B$5,"Featured candidate",""))</f>
        <v/>
      </c>
    </row>
    <row r="172" ht="14.25" customHeight="1">
      <c r="A172" s="17" t="str">
        <f t="shared" si="2"/>
        <v/>
      </c>
      <c r="B172" s="13"/>
      <c r="C172" s="13"/>
      <c r="D172" s="13"/>
      <c r="E172" s="13"/>
      <c r="F172" s="13"/>
      <c r="G172" s="13"/>
      <c r="H172" s="13"/>
      <c r="I172" s="13"/>
      <c r="J172" s="13"/>
      <c r="K172" s="13"/>
      <c r="L172" s="13"/>
      <c r="M172" s="15"/>
      <c r="N172" s="15"/>
      <c r="O172" s="15"/>
      <c r="P172" s="15"/>
      <c r="Q172" s="15"/>
      <c r="R172" s="16" t="str">
        <f>IF(COUNT(M172:Q172)&lt;5,"",(M172*Summary!$F$5+N172*Summary!$F$6+O172*Summary!$F$7+P172*Summary!$F$8+Q172*Summary!$F$9)/Summary!$F$10)</f>
        <v/>
      </c>
      <c r="S172" s="17" t="str">
        <f t="shared" si="1"/>
        <v/>
      </c>
      <c r="T172" s="17" t="str">
        <f>IF(S172="","",IF(S172&lt;=Summary!$B$5,"Featured candidate",""))</f>
        <v/>
      </c>
    </row>
    <row r="173" ht="14.25" customHeight="1">
      <c r="A173" s="17" t="str">
        <f t="shared" si="2"/>
        <v/>
      </c>
      <c r="B173" s="13"/>
      <c r="C173" s="13"/>
      <c r="D173" s="13"/>
      <c r="E173" s="13"/>
      <c r="F173" s="13"/>
      <c r="G173" s="13"/>
      <c r="H173" s="13"/>
      <c r="I173" s="13"/>
      <c r="J173" s="13"/>
      <c r="K173" s="13"/>
      <c r="L173" s="13"/>
      <c r="M173" s="15"/>
      <c r="N173" s="15"/>
      <c r="O173" s="15"/>
      <c r="P173" s="15"/>
      <c r="Q173" s="15"/>
      <c r="R173" s="16" t="str">
        <f>IF(COUNT(M173:Q173)&lt;5,"",(M173*Summary!$F$5+N173*Summary!$F$6+O173*Summary!$F$7+P173*Summary!$F$8+Q173*Summary!$F$9)/Summary!$F$10)</f>
        <v/>
      </c>
      <c r="S173" s="17" t="str">
        <f t="shared" si="1"/>
        <v/>
      </c>
      <c r="T173" s="17" t="str">
        <f>IF(S173="","",IF(S173&lt;=Summary!$B$5,"Featured candidate",""))</f>
        <v/>
      </c>
    </row>
    <row r="174" ht="14.25" customHeight="1">
      <c r="A174" s="17" t="str">
        <f t="shared" si="2"/>
        <v/>
      </c>
      <c r="B174" s="13"/>
      <c r="C174" s="13"/>
      <c r="D174" s="13"/>
      <c r="E174" s="13"/>
      <c r="F174" s="13"/>
      <c r="G174" s="13"/>
      <c r="H174" s="13"/>
      <c r="I174" s="13"/>
      <c r="J174" s="13"/>
      <c r="K174" s="13"/>
      <c r="L174" s="13"/>
      <c r="M174" s="15"/>
      <c r="N174" s="15"/>
      <c r="O174" s="15"/>
      <c r="P174" s="15"/>
      <c r="Q174" s="15"/>
      <c r="R174" s="16" t="str">
        <f>IF(COUNT(M174:Q174)&lt;5,"",(M174*Summary!$F$5+N174*Summary!$F$6+O174*Summary!$F$7+P174*Summary!$F$8+Q174*Summary!$F$9)/Summary!$F$10)</f>
        <v/>
      </c>
      <c r="S174" s="17" t="str">
        <f t="shared" si="1"/>
        <v/>
      </c>
      <c r="T174" s="17" t="str">
        <f>IF(S174="","",IF(S174&lt;=Summary!$B$5,"Featured candidate",""))</f>
        <v/>
      </c>
    </row>
    <row r="175" ht="14.25" customHeight="1">
      <c r="A175" s="17" t="str">
        <f t="shared" si="2"/>
        <v/>
      </c>
      <c r="B175" s="13"/>
      <c r="C175" s="13"/>
      <c r="D175" s="13"/>
      <c r="E175" s="13"/>
      <c r="F175" s="13"/>
      <c r="G175" s="13"/>
      <c r="H175" s="13"/>
      <c r="I175" s="13"/>
      <c r="J175" s="13"/>
      <c r="K175" s="13"/>
      <c r="L175" s="13"/>
      <c r="M175" s="15"/>
      <c r="N175" s="15"/>
      <c r="O175" s="15"/>
      <c r="P175" s="15"/>
      <c r="Q175" s="15"/>
      <c r="R175" s="16" t="str">
        <f>IF(COUNT(M175:Q175)&lt;5,"",(M175*Summary!$F$5+N175*Summary!$F$6+O175*Summary!$F$7+P175*Summary!$F$8+Q175*Summary!$F$9)/Summary!$F$10)</f>
        <v/>
      </c>
      <c r="S175" s="17" t="str">
        <f t="shared" si="1"/>
        <v/>
      </c>
      <c r="T175" s="17" t="str">
        <f>IF(S175="","",IF(S175&lt;=Summary!$B$5,"Featured candidate",""))</f>
        <v/>
      </c>
    </row>
    <row r="176" ht="14.25" customHeight="1">
      <c r="A176" s="17" t="str">
        <f t="shared" si="2"/>
        <v/>
      </c>
      <c r="B176" s="13"/>
      <c r="C176" s="13"/>
      <c r="D176" s="13"/>
      <c r="E176" s="13"/>
      <c r="F176" s="13"/>
      <c r="G176" s="13"/>
      <c r="H176" s="13"/>
      <c r="I176" s="13"/>
      <c r="J176" s="13"/>
      <c r="K176" s="13"/>
      <c r="L176" s="13"/>
      <c r="M176" s="15"/>
      <c r="N176" s="15"/>
      <c r="O176" s="15"/>
      <c r="P176" s="15"/>
      <c r="Q176" s="15"/>
      <c r="R176" s="16" t="str">
        <f>IF(COUNT(M176:Q176)&lt;5,"",(M176*Summary!$F$5+N176*Summary!$F$6+O176*Summary!$F$7+P176*Summary!$F$8+Q176*Summary!$F$9)/Summary!$F$10)</f>
        <v/>
      </c>
      <c r="S176" s="17" t="str">
        <f t="shared" si="1"/>
        <v/>
      </c>
      <c r="T176" s="17" t="str">
        <f>IF(S176="","",IF(S176&lt;=Summary!$B$5,"Featured candidate",""))</f>
        <v/>
      </c>
    </row>
    <row r="177" ht="14.25" customHeight="1">
      <c r="A177" s="17" t="str">
        <f t="shared" si="2"/>
        <v/>
      </c>
      <c r="B177" s="13"/>
      <c r="C177" s="13"/>
      <c r="D177" s="13"/>
      <c r="E177" s="13"/>
      <c r="F177" s="13"/>
      <c r="G177" s="13"/>
      <c r="H177" s="13"/>
      <c r="I177" s="13"/>
      <c r="J177" s="13"/>
      <c r="K177" s="13"/>
      <c r="L177" s="13"/>
      <c r="M177" s="15"/>
      <c r="N177" s="15"/>
      <c r="O177" s="15"/>
      <c r="P177" s="15"/>
      <c r="Q177" s="15"/>
      <c r="R177" s="16" t="str">
        <f>IF(COUNT(M177:Q177)&lt;5,"",(M177*Summary!$F$5+N177*Summary!$F$6+O177*Summary!$F$7+P177*Summary!$F$8+Q177*Summary!$F$9)/Summary!$F$10)</f>
        <v/>
      </c>
      <c r="S177" s="17" t="str">
        <f t="shared" si="1"/>
        <v/>
      </c>
      <c r="T177" s="17" t="str">
        <f>IF(S177="","",IF(S177&lt;=Summary!$B$5,"Featured candidate",""))</f>
        <v/>
      </c>
    </row>
    <row r="178" ht="14.25" customHeight="1">
      <c r="A178" s="17" t="str">
        <f t="shared" si="2"/>
        <v/>
      </c>
      <c r="B178" s="13"/>
      <c r="C178" s="13"/>
      <c r="D178" s="13"/>
      <c r="E178" s="13"/>
      <c r="F178" s="13"/>
      <c r="G178" s="13"/>
      <c r="H178" s="13"/>
      <c r="I178" s="13"/>
      <c r="J178" s="13"/>
      <c r="K178" s="13"/>
      <c r="L178" s="13"/>
      <c r="M178" s="15"/>
      <c r="N178" s="15"/>
      <c r="O178" s="15"/>
      <c r="P178" s="15"/>
      <c r="Q178" s="15"/>
      <c r="R178" s="16" t="str">
        <f>IF(COUNT(M178:Q178)&lt;5,"",(M178*Summary!$F$5+N178*Summary!$F$6+O178*Summary!$F$7+P178*Summary!$F$8+Q178*Summary!$F$9)/Summary!$F$10)</f>
        <v/>
      </c>
      <c r="S178" s="17" t="str">
        <f t="shared" si="1"/>
        <v/>
      </c>
      <c r="T178" s="17" t="str">
        <f>IF(S178="","",IF(S178&lt;=Summary!$B$5,"Featured candidate",""))</f>
        <v/>
      </c>
    </row>
    <row r="179" ht="14.25" customHeight="1">
      <c r="A179" s="17" t="str">
        <f t="shared" si="2"/>
        <v/>
      </c>
      <c r="B179" s="13"/>
      <c r="C179" s="13"/>
      <c r="D179" s="13"/>
      <c r="E179" s="13"/>
      <c r="F179" s="13"/>
      <c r="G179" s="13"/>
      <c r="H179" s="13"/>
      <c r="I179" s="13"/>
      <c r="J179" s="13"/>
      <c r="K179" s="13"/>
      <c r="L179" s="13"/>
      <c r="M179" s="15"/>
      <c r="N179" s="15"/>
      <c r="O179" s="15"/>
      <c r="P179" s="15"/>
      <c r="Q179" s="15"/>
      <c r="R179" s="16" t="str">
        <f>IF(COUNT(M179:Q179)&lt;5,"",(M179*Summary!$F$5+N179*Summary!$F$6+O179*Summary!$F$7+P179*Summary!$F$8+Q179*Summary!$F$9)/Summary!$F$10)</f>
        <v/>
      </c>
      <c r="S179" s="17" t="str">
        <f t="shared" si="1"/>
        <v/>
      </c>
      <c r="T179" s="17" t="str">
        <f>IF(S179="","",IF(S179&lt;=Summary!$B$5,"Featured candidate",""))</f>
        <v/>
      </c>
    </row>
    <row r="180" ht="14.25" customHeight="1">
      <c r="A180" s="17" t="str">
        <f t="shared" si="2"/>
        <v/>
      </c>
      <c r="B180" s="13"/>
      <c r="C180" s="13"/>
      <c r="D180" s="13"/>
      <c r="E180" s="13"/>
      <c r="F180" s="13"/>
      <c r="G180" s="13"/>
      <c r="H180" s="13"/>
      <c r="I180" s="13"/>
      <c r="J180" s="13"/>
      <c r="K180" s="13"/>
      <c r="L180" s="13"/>
      <c r="M180" s="15"/>
      <c r="N180" s="15"/>
      <c r="O180" s="15"/>
      <c r="P180" s="15"/>
      <c r="Q180" s="15"/>
      <c r="R180" s="16" t="str">
        <f>IF(COUNT(M180:Q180)&lt;5,"",(M180*Summary!$F$5+N180*Summary!$F$6+O180*Summary!$F$7+P180*Summary!$F$8+Q180*Summary!$F$9)/Summary!$F$10)</f>
        <v/>
      </c>
      <c r="S180" s="17" t="str">
        <f t="shared" si="1"/>
        <v/>
      </c>
      <c r="T180" s="17" t="str">
        <f>IF(S180="","",IF(S180&lt;=Summary!$B$5,"Featured candidate",""))</f>
        <v/>
      </c>
    </row>
    <row r="181" ht="14.25" customHeight="1">
      <c r="A181" s="17" t="str">
        <f t="shared" si="2"/>
        <v/>
      </c>
      <c r="B181" s="13"/>
      <c r="C181" s="13"/>
      <c r="D181" s="13"/>
      <c r="E181" s="13"/>
      <c r="F181" s="13"/>
      <c r="G181" s="13"/>
      <c r="H181" s="13"/>
      <c r="I181" s="13"/>
      <c r="J181" s="13"/>
      <c r="K181" s="13"/>
      <c r="L181" s="13"/>
      <c r="M181" s="15"/>
      <c r="N181" s="15"/>
      <c r="O181" s="15"/>
      <c r="P181" s="15"/>
      <c r="Q181" s="15"/>
      <c r="R181" s="16" t="str">
        <f>IF(COUNT(M181:Q181)&lt;5,"",(M181*Summary!$F$5+N181*Summary!$F$6+O181*Summary!$F$7+P181*Summary!$F$8+Q181*Summary!$F$9)/Summary!$F$10)</f>
        <v/>
      </c>
      <c r="S181" s="17" t="str">
        <f t="shared" si="1"/>
        <v/>
      </c>
      <c r="T181" s="17" t="str">
        <f>IF(S181="","",IF(S181&lt;=Summary!$B$5,"Featured candidate",""))</f>
        <v/>
      </c>
    </row>
    <row r="182" ht="14.25" customHeight="1">
      <c r="A182" s="17" t="str">
        <f t="shared" si="2"/>
        <v/>
      </c>
      <c r="B182" s="13"/>
      <c r="C182" s="13"/>
      <c r="D182" s="13"/>
      <c r="E182" s="13"/>
      <c r="F182" s="13"/>
      <c r="G182" s="13"/>
      <c r="H182" s="13"/>
      <c r="I182" s="13"/>
      <c r="J182" s="13"/>
      <c r="K182" s="13"/>
      <c r="L182" s="13"/>
      <c r="M182" s="15"/>
      <c r="N182" s="15"/>
      <c r="O182" s="15"/>
      <c r="P182" s="15"/>
      <c r="Q182" s="15"/>
      <c r="R182" s="16" t="str">
        <f>IF(COUNT(M182:Q182)&lt;5,"",(M182*Summary!$F$5+N182*Summary!$F$6+O182*Summary!$F$7+P182*Summary!$F$8+Q182*Summary!$F$9)/Summary!$F$10)</f>
        <v/>
      </c>
      <c r="S182" s="17" t="str">
        <f t="shared" si="1"/>
        <v/>
      </c>
      <c r="T182" s="17" t="str">
        <f>IF(S182="","",IF(S182&lt;=Summary!$B$5,"Featured candidate",""))</f>
        <v/>
      </c>
    </row>
    <row r="183" ht="14.25" customHeight="1">
      <c r="A183" s="17" t="str">
        <f t="shared" si="2"/>
        <v/>
      </c>
      <c r="B183" s="13"/>
      <c r="C183" s="13"/>
      <c r="D183" s="13"/>
      <c r="E183" s="13"/>
      <c r="F183" s="13"/>
      <c r="G183" s="13"/>
      <c r="H183" s="13"/>
      <c r="I183" s="13"/>
      <c r="J183" s="13"/>
      <c r="K183" s="13"/>
      <c r="L183" s="13"/>
      <c r="M183" s="15"/>
      <c r="N183" s="15"/>
      <c r="O183" s="15"/>
      <c r="P183" s="15"/>
      <c r="Q183" s="15"/>
      <c r="R183" s="16" t="str">
        <f>IF(COUNT(M183:Q183)&lt;5,"",(M183*Summary!$F$5+N183*Summary!$F$6+O183*Summary!$F$7+P183*Summary!$F$8+Q183*Summary!$F$9)/Summary!$F$10)</f>
        <v/>
      </c>
      <c r="S183" s="17" t="str">
        <f t="shared" si="1"/>
        <v/>
      </c>
      <c r="T183" s="17" t="str">
        <f>IF(S183="","",IF(S183&lt;=Summary!$B$5,"Featured candidate",""))</f>
        <v/>
      </c>
    </row>
    <row r="184" ht="14.25" customHeight="1">
      <c r="A184" s="17" t="str">
        <f t="shared" si="2"/>
        <v/>
      </c>
      <c r="B184" s="13"/>
      <c r="C184" s="13"/>
      <c r="D184" s="13"/>
      <c r="E184" s="13"/>
      <c r="F184" s="13"/>
      <c r="G184" s="13"/>
      <c r="H184" s="13"/>
      <c r="I184" s="13"/>
      <c r="J184" s="13"/>
      <c r="K184" s="13"/>
      <c r="L184" s="13"/>
      <c r="M184" s="15"/>
      <c r="N184" s="15"/>
      <c r="O184" s="15"/>
      <c r="P184" s="15"/>
      <c r="Q184" s="15"/>
      <c r="R184" s="16" t="str">
        <f>IF(COUNT(M184:Q184)&lt;5,"",(M184*Summary!$F$5+N184*Summary!$F$6+O184*Summary!$F$7+P184*Summary!$F$8+Q184*Summary!$F$9)/Summary!$F$10)</f>
        <v/>
      </c>
      <c r="S184" s="17" t="str">
        <f t="shared" si="1"/>
        <v/>
      </c>
      <c r="T184" s="17" t="str">
        <f>IF(S184="","",IF(S184&lt;=Summary!$B$5,"Featured candidate",""))</f>
        <v/>
      </c>
    </row>
    <row r="185" ht="14.25" customHeight="1">
      <c r="A185" s="17" t="str">
        <f t="shared" si="2"/>
        <v/>
      </c>
      <c r="B185" s="13"/>
      <c r="C185" s="13"/>
      <c r="D185" s="13"/>
      <c r="E185" s="13"/>
      <c r="F185" s="13"/>
      <c r="G185" s="13"/>
      <c r="H185" s="13"/>
      <c r="I185" s="13"/>
      <c r="J185" s="13"/>
      <c r="K185" s="13"/>
      <c r="L185" s="13"/>
      <c r="M185" s="15"/>
      <c r="N185" s="15"/>
      <c r="O185" s="15"/>
      <c r="P185" s="15"/>
      <c r="Q185" s="15"/>
      <c r="R185" s="16" t="str">
        <f>IF(COUNT(M185:Q185)&lt;5,"",(M185*Summary!$F$5+N185*Summary!$F$6+O185*Summary!$F$7+P185*Summary!$F$8+Q185*Summary!$F$9)/Summary!$F$10)</f>
        <v/>
      </c>
      <c r="S185" s="17" t="str">
        <f t="shared" si="1"/>
        <v/>
      </c>
      <c r="T185" s="17" t="str">
        <f>IF(S185="","",IF(S185&lt;=Summary!$B$5,"Featured candidate",""))</f>
        <v/>
      </c>
    </row>
    <row r="186" ht="14.25" customHeight="1">
      <c r="A186" s="17" t="str">
        <f t="shared" si="2"/>
        <v/>
      </c>
      <c r="B186" s="13"/>
      <c r="C186" s="13"/>
      <c r="D186" s="13"/>
      <c r="E186" s="13"/>
      <c r="F186" s="13"/>
      <c r="G186" s="13"/>
      <c r="H186" s="13"/>
      <c r="I186" s="13"/>
      <c r="J186" s="13"/>
      <c r="K186" s="13"/>
      <c r="L186" s="13"/>
      <c r="M186" s="15"/>
      <c r="N186" s="15"/>
      <c r="O186" s="15"/>
      <c r="P186" s="15"/>
      <c r="Q186" s="15"/>
      <c r="R186" s="16" t="str">
        <f>IF(COUNT(M186:Q186)&lt;5,"",(M186*Summary!$F$5+N186*Summary!$F$6+O186*Summary!$F$7+P186*Summary!$F$8+Q186*Summary!$F$9)/Summary!$F$10)</f>
        <v/>
      </c>
      <c r="S186" s="17" t="str">
        <f t="shared" si="1"/>
        <v/>
      </c>
      <c r="T186" s="17" t="str">
        <f>IF(S186="","",IF(S186&lt;=Summary!$B$5,"Featured candidate",""))</f>
        <v/>
      </c>
    </row>
    <row r="187" ht="14.25" customHeight="1">
      <c r="A187" s="17" t="str">
        <f t="shared" si="2"/>
        <v/>
      </c>
      <c r="B187" s="13"/>
      <c r="C187" s="13"/>
      <c r="D187" s="13"/>
      <c r="E187" s="13"/>
      <c r="F187" s="13"/>
      <c r="G187" s="13"/>
      <c r="H187" s="13"/>
      <c r="I187" s="13"/>
      <c r="J187" s="13"/>
      <c r="K187" s="13"/>
      <c r="L187" s="13"/>
      <c r="M187" s="15"/>
      <c r="N187" s="15"/>
      <c r="O187" s="15"/>
      <c r="P187" s="15"/>
      <c r="Q187" s="15"/>
      <c r="R187" s="16" t="str">
        <f>IF(COUNT(M187:Q187)&lt;5,"",(M187*Summary!$F$5+N187*Summary!$F$6+O187*Summary!$F$7+P187*Summary!$F$8+Q187*Summary!$F$9)/Summary!$F$10)</f>
        <v/>
      </c>
      <c r="S187" s="17" t="str">
        <f t="shared" si="1"/>
        <v/>
      </c>
      <c r="T187" s="17" t="str">
        <f>IF(S187="","",IF(S187&lt;=Summary!$B$5,"Featured candidate",""))</f>
        <v/>
      </c>
    </row>
    <row r="188" ht="14.25" customHeight="1">
      <c r="A188" s="17" t="str">
        <f t="shared" si="2"/>
        <v/>
      </c>
      <c r="B188" s="13"/>
      <c r="C188" s="13"/>
      <c r="D188" s="13"/>
      <c r="E188" s="13"/>
      <c r="F188" s="13"/>
      <c r="G188" s="13"/>
      <c r="H188" s="13"/>
      <c r="I188" s="13"/>
      <c r="J188" s="13"/>
      <c r="K188" s="13"/>
      <c r="L188" s="13"/>
      <c r="M188" s="15"/>
      <c r="N188" s="15"/>
      <c r="O188" s="15"/>
      <c r="P188" s="15"/>
      <c r="Q188" s="15"/>
      <c r="R188" s="16" t="str">
        <f>IF(COUNT(M188:Q188)&lt;5,"",(M188*Summary!$F$5+N188*Summary!$F$6+O188*Summary!$F$7+P188*Summary!$F$8+Q188*Summary!$F$9)/Summary!$F$10)</f>
        <v/>
      </c>
      <c r="S188" s="17" t="str">
        <f t="shared" si="1"/>
        <v/>
      </c>
      <c r="T188" s="17" t="str">
        <f>IF(S188="","",IF(S188&lt;=Summary!$B$5,"Featured candidate",""))</f>
        <v/>
      </c>
    </row>
    <row r="189" ht="14.25" customHeight="1">
      <c r="A189" s="17" t="str">
        <f t="shared" si="2"/>
        <v/>
      </c>
      <c r="B189" s="13"/>
      <c r="C189" s="13"/>
      <c r="D189" s="13"/>
      <c r="E189" s="13"/>
      <c r="F189" s="13"/>
      <c r="G189" s="13"/>
      <c r="H189" s="13"/>
      <c r="I189" s="13"/>
      <c r="J189" s="13"/>
      <c r="K189" s="13"/>
      <c r="L189" s="13"/>
      <c r="M189" s="15"/>
      <c r="N189" s="15"/>
      <c r="O189" s="15"/>
      <c r="P189" s="15"/>
      <c r="Q189" s="15"/>
      <c r="R189" s="16" t="str">
        <f>IF(COUNT(M189:Q189)&lt;5,"",(M189*Summary!$F$5+N189*Summary!$F$6+O189*Summary!$F$7+P189*Summary!$F$8+Q189*Summary!$F$9)/Summary!$F$10)</f>
        <v/>
      </c>
      <c r="S189" s="17" t="str">
        <f t="shared" si="1"/>
        <v/>
      </c>
      <c r="T189" s="17" t="str">
        <f>IF(S189="","",IF(S189&lt;=Summary!$B$5,"Featured candidate",""))</f>
        <v/>
      </c>
    </row>
    <row r="190" ht="14.25" customHeight="1">
      <c r="A190" s="17" t="str">
        <f t="shared" si="2"/>
        <v/>
      </c>
      <c r="B190" s="13"/>
      <c r="C190" s="13"/>
      <c r="D190" s="13"/>
      <c r="E190" s="13"/>
      <c r="F190" s="13"/>
      <c r="G190" s="13"/>
      <c r="H190" s="13"/>
      <c r="I190" s="13"/>
      <c r="J190" s="13"/>
      <c r="K190" s="13"/>
      <c r="L190" s="13"/>
      <c r="M190" s="15"/>
      <c r="N190" s="15"/>
      <c r="O190" s="15"/>
      <c r="P190" s="15"/>
      <c r="Q190" s="15"/>
      <c r="R190" s="16" t="str">
        <f>IF(COUNT(M190:Q190)&lt;5,"",(M190*Summary!$F$5+N190*Summary!$F$6+O190*Summary!$F$7+P190*Summary!$F$8+Q190*Summary!$F$9)/Summary!$F$10)</f>
        <v/>
      </c>
      <c r="S190" s="17" t="str">
        <f t="shared" si="1"/>
        <v/>
      </c>
      <c r="T190" s="17" t="str">
        <f>IF(S190="","",IF(S190&lt;=Summary!$B$5,"Featured candidate",""))</f>
        <v/>
      </c>
    </row>
    <row r="191" ht="14.25" customHeight="1">
      <c r="A191" s="17" t="str">
        <f t="shared" si="2"/>
        <v/>
      </c>
      <c r="B191" s="13"/>
      <c r="C191" s="13"/>
      <c r="D191" s="13"/>
      <c r="E191" s="13"/>
      <c r="F191" s="13"/>
      <c r="G191" s="13"/>
      <c r="H191" s="13"/>
      <c r="I191" s="13"/>
      <c r="J191" s="13"/>
      <c r="K191" s="13"/>
      <c r="L191" s="13"/>
      <c r="M191" s="15"/>
      <c r="N191" s="15"/>
      <c r="O191" s="15"/>
      <c r="P191" s="15"/>
      <c r="Q191" s="15"/>
      <c r="R191" s="16" t="str">
        <f>IF(COUNT(M191:Q191)&lt;5,"",(M191*Summary!$F$5+N191*Summary!$F$6+O191*Summary!$F$7+P191*Summary!$F$8+Q191*Summary!$F$9)/Summary!$F$10)</f>
        <v/>
      </c>
      <c r="S191" s="17" t="str">
        <f t="shared" si="1"/>
        <v/>
      </c>
      <c r="T191" s="17" t="str">
        <f>IF(S191="","",IF(S191&lt;=Summary!$B$5,"Featured candidate",""))</f>
        <v/>
      </c>
    </row>
    <row r="192" ht="14.25" customHeight="1">
      <c r="A192" s="17" t="str">
        <f t="shared" si="2"/>
        <v/>
      </c>
      <c r="B192" s="13"/>
      <c r="C192" s="13"/>
      <c r="D192" s="13"/>
      <c r="E192" s="13"/>
      <c r="F192" s="13"/>
      <c r="G192" s="13"/>
      <c r="H192" s="13"/>
      <c r="I192" s="13"/>
      <c r="J192" s="13"/>
      <c r="K192" s="13"/>
      <c r="L192" s="13"/>
      <c r="M192" s="15"/>
      <c r="N192" s="15"/>
      <c r="O192" s="15"/>
      <c r="P192" s="15"/>
      <c r="Q192" s="15"/>
      <c r="R192" s="16" t="str">
        <f>IF(COUNT(M192:Q192)&lt;5,"",(M192*Summary!$F$5+N192*Summary!$F$6+O192*Summary!$F$7+P192*Summary!$F$8+Q192*Summary!$F$9)/Summary!$F$10)</f>
        <v/>
      </c>
      <c r="S192" s="17" t="str">
        <f t="shared" si="1"/>
        <v/>
      </c>
      <c r="T192" s="17" t="str">
        <f>IF(S192="","",IF(S192&lt;=Summary!$B$5,"Featured candidate",""))</f>
        <v/>
      </c>
    </row>
    <row r="193" ht="14.25" customHeight="1">
      <c r="A193" s="17" t="str">
        <f t="shared" si="2"/>
        <v/>
      </c>
      <c r="B193" s="13"/>
      <c r="C193" s="13"/>
      <c r="D193" s="13"/>
      <c r="E193" s="13"/>
      <c r="F193" s="13"/>
      <c r="G193" s="13"/>
      <c r="H193" s="13"/>
      <c r="I193" s="13"/>
      <c r="J193" s="13"/>
      <c r="K193" s="13"/>
      <c r="L193" s="13"/>
      <c r="M193" s="15"/>
      <c r="N193" s="15"/>
      <c r="O193" s="15"/>
      <c r="P193" s="15"/>
      <c r="Q193" s="15"/>
      <c r="R193" s="16" t="str">
        <f>IF(COUNT(M193:Q193)&lt;5,"",(M193*Summary!$F$5+N193*Summary!$F$6+O193*Summary!$F$7+P193*Summary!$F$8+Q193*Summary!$F$9)/Summary!$F$10)</f>
        <v/>
      </c>
      <c r="S193" s="17" t="str">
        <f t="shared" si="1"/>
        <v/>
      </c>
      <c r="T193" s="17" t="str">
        <f>IF(S193="","",IF(S193&lt;=Summary!$B$5,"Featured candidate",""))</f>
        <v/>
      </c>
    </row>
    <row r="194" ht="14.25" customHeight="1">
      <c r="A194" s="17" t="str">
        <f t="shared" si="2"/>
        <v/>
      </c>
      <c r="B194" s="13"/>
      <c r="C194" s="13"/>
      <c r="D194" s="13"/>
      <c r="E194" s="13"/>
      <c r="F194" s="13"/>
      <c r="G194" s="13"/>
      <c r="H194" s="13"/>
      <c r="I194" s="13"/>
      <c r="J194" s="13"/>
      <c r="K194" s="13"/>
      <c r="L194" s="13"/>
      <c r="M194" s="15"/>
      <c r="N194" s="15"/>
      <c r="O194" s="15"/>
      <c r="P194" s="15"/>
      <c r="Q194" s="15"/>
      <c r="R194" s="16" t="str">
        <f>IF(COUNT(M194:Q194)&lt;5,"",(M194*Summary!$F$5+N194*Summary!$F$6+O194*Summary!$F$7+P194*Summary!$F$8+Q194*Summary!$F$9)/Summary!$F$10)</f>
        <v/>
      </c>
      <c r="S194" s="17" t="str">
        <f t="shared" si="1"/>
        <v/>
      </c>
      <c r="T194" s="17" t="str">
        <f>IF(S194="","",IF(S194&lt;=Summary!$B$5,"Featured candidate",""))</f>
        <v/>
      </c>
    </row>
    <row r="195" ht="14.25" customHeight="1">
      <c r="A195" s="17" t="str">
        <f t="shared" si="2"/>
        <v/>
      </c>
      <c r="B195" s="13"/>
      <c r="C195" s="13"/>
      <c r="D195" s="13"/>
      <c r="E195" s="13"/>
      <c r="F195" s="13"/>
      <c r="G195" s="13"/>
      <c r="H195" s="13"/>
      <c r="I195" s="13"/>
      <c r="J195" s="13"/>
      <c r="K195" s="13"/>
      <c r="L195" s="13"/>
      <c r="M195" s="15"/>
      <c r="N195" s="15"/>
      <c r="O195" s="15"/>
      <c r="P195" s="15"/>
      <c r="Q195" s="15"/>
      <c r="R195" s="16" t="str">
        <f>IF(COUNT(M195:Q195)&lt;5,"",(M195*Summary!$F$5+N195*Summary!$F$6+O195*Summary!$F$7+P195*Summary!$F$8+Q195*Summary!$F$9)/Summary!$F$10)</f>
        <v/>
      </c>
      <c r="S195" s="17" t="str">
        <f t="shared" si="1"/>
        <v/>
      </c>
      <c r="T195" s="17" t="str">
        <f>IF(S195="","",IF(S195&lt;=Summary!$B$5,"Featured candidate",""))</f>
        <v/>
      </c>
    </row>
    <row r="196" ht="14.25" customHeight="1">
      <c r="A196" s="17" t="str">
        <f t="shared" si="2"/>
        <v/>
      </c>
      <c r="B196" s="13"/>
      <c r="C196" s="13"/>
      <c r="D196" s="13"/>
      <c r="E196" s="13"/>
      <c r="F196" s="13"/>
      <c r="G196" s="13"/>
      <c r="H196" s="13"/>
      <c r="I196" s="13"/>
      <c r="J196" s="13"/>
      <c r="K196" s="13"/>
      <c r="L196" s="13"/>
      <c r="M196" s="15"/>
      <c r="N196" s="15"/>
      <c r="O196" s="15"/>
      <c r="P196" s="15"/>
      <c r="Q196" s="15"/>
      <c r="R196" s="16" t="str">
        <f>IF(COUNT(M196:Q196)&lt;5,"",(M196*Summary!$F$5+N196*Summary!$F$6+O196*Summary!$F$7+P196*Summary!$F$8+Q196*Summary!$F$9)/Summary!$F$10)</f>
        <v/>
      </c>
      <c r="S196" s="17" t="str">
        <f t="shared" si="1"/>
        <v/>
      </c>
      <c r="T196" s="17" t="str">
        <f>IF(S196="","",IF(S196&lt;=Summary!$B$5,"Featured candidate",""))</f>
        <v/>
      </c>
    </row>
    <row r="197" ht="14.25" customHeight="1">
      <c r="A197" s="17" t="str">
        <f t="shared" si="2"/>
        <v/>
      </c>
      <c r="B197" s="13"/>
      <c r="C197" s="13"/>
      <c r="D197" s="13"/>
      <c r="E197" s="13"/>
      <c r="F197" s="13"/>
      <c r="G197" s="13"/>
      <c r="H197" s="13"/>
      <c r="I197" s="13"/>
      <c r="J197" s="13"/>
      <c r="K197" s="13"/>
      <c r="L197" s="13"/>
      <c r="M197" s="15"/>
      <c r="N197" s="15"/>
      <c r="O197" s="15"/>
      <c r="P197" s="15"/>
      <c r="Q197" s="15"/>
      <c r="R197" s="16" t="str">
        <f>IF(COUNT(M197:Q197)&lt;5,"",(M197*Summary!$F$5+N197*Summary!$F$6+O197*Summary!$F$7+P197*Summary!$F$8+Q197*Summary!$F$9)/Summary!$F$10)</f>
        <v/>
      </c>
      <c r="S197" s="17" t="str">
        <f t="shared" si="1"/>
        <v/>
      </c>
      <c r="T197" s="17" t="str">
        <f>IF(S197="","",IF(S197&lt;=Summary!$B$5,"Featured candidate",""))</f>
        <v/>
      </c>
    </row>
    <row r="198" ht="14.25" customHeight="1">
      <c r="A198" s="17" t="str">
        <f t="shared" si="2"/>
        <v/>
      </c>
      <c r="B198" s="13"/>
      <c r="C198" s="13"/>
      <c r="D198" s="13"/>
      <c r="E198" s="13"/>
      <c r="F198" s="13"/>
      <c r="G198" s="13"/>
      <c r="H198" s="13"/>
      <c r="I198" s="13"/>
      <c r="J198" s="13"/>
      <c r="K198" s="13"/>
      <c r="L198" s="13"/>
      <c r="M198" s="15"/>
      <c r="N198" s="15"/>
      <c r="O198" s="15"/>
      <c r="P198" s="15"/>
      <c r="Q198" s="15"/>
      <c r="R198" s="16" t="str">
        <f>IF(COUNT(M198:Q198)&lt;5,"",(M198*Summary!$F$5+N198*Summary!$F$6+O198*Summary!$F$7+P198*Summary!$F$8+Q198*Summary!$F$9)/Summary!$F$10)</f>
        <v/>
      </c>
      <c r="S198" s="17" t="str">
        <f t="shared" si="1"/>
        <v/>
      </c>
      <c r="T198" s="17" t="str">
        <f>IF(S198="","",IF(S198&lt;=Summary!$B$5,"Featured candidate",""))</f>
        <v/>
      </c>
    </row>
    <row r="199" ht="14.25" customHeight="1">
      <c r="A199" s="17" t="str">
        <f t="shared" si="2"/>
        <v/>
      </c>
      <c r="B199" s="13"/>
      <c r="C199" s="13"/>
      <c r="D199" s="13"/>
      <c r="E199" s="13"/>
      <c r="F199" s="13"/>
      <c r="G199" s="13"/>
      <c r="H199" s="13"/>
      <c r="I199" s="13"/>
      <c r="J199" s="13"/>
      <c r="K199" s="13"/>
      <c r="L199" s="13"/>
      <c r="M199" s="15"/>
      <c r="N199" s="15"/>
      <c r="O199" s="15"/>
      <c r="P199" s="15"/>
      <c r="Q199" s="15"/>
      <c r="R199" s="16" t="str">
        <f>IF(COUNT(M199:Q199)&lt;5,"",(M199*Summary!$F$5+N199*Summary!$F$6+O199*Summary!$F$7+P199*Summary!$F$8+Q199*Summary!$F$9)/Summary!$F$10)</f>
        <v/>
      </c>
      <c r="S199" s="17" t="str">
        <f t="shared" si="1"/>
        <v/>
      </c>
      <c r="T199" s="17" t="str">
        <f>IF(S199="","",IF(S199&lt;=Summary!$B$5,"Featured candidate",""))</f>
        <v/>
      </c>
    </row>
    <row r="200" ht="14.25" customHeight="1">
      <c r="A200" s="17" t="str">
        <f t="shared" si="2"/>
        <v/>
      </c>
      <c r="B200" s="13"/>
      <c r="C200" s="13"/>
      <c r="D200" s="13"/>
      <c r="E200" s="13"/>
      <c r="F200" s="13"/>
      <c r="G200" s="13"/>
      <c r="H200" s="13"/>
      <c r="I200" s="13"/>
      <c r="J200" s="13"/>
      <c r="K200" s="13"/>
      <c r="L200" s="13"/>
      <c r="M200" s="15"/>
      <c r="N200" s="15"/>
      <c r="O200" s="15"/>
      <c r="P200" s="15"/>
      <c r="Q200" s="15"/>
      <c r="R200" s="16" t="str">
        <f>IF(COUNT(M200:Q200)&lt;5,"",(M200*Summary!$F$5+N200*Summary!$F$6+O200*Summary!$F$7+P200*Summary!$F$8+Q200*Summary!$F$9)/Summary!$F$10)</f>
        <v/>
      </c>
      <c r="S200" s="17" t="str">
        <f t="shared" si="1"/>
        <v/>
      </c>
      <c r="T200" s="17" t="str">
        <f>IF(S200="","",IF(S200&lt;=Summary!$B$5,"Featured candidate",""))</f>
        <v/>
      </c>
    </row>
    <row r="201" ht="14.25" customHeight="1">
      <c r="A201" s="17" t="str">
        <f t="shared" si="2"/>
        <v/>
      </c>
      <c r="B201" s="13"/>
      <c r="C201" s="13"/>
      <c r="D201" s="13"/>
      <c r="E201" s="13"/>
      <c r="F201" s="13"/>
      <c r="G201" s="13"/>
      <c r="H201" s="13"/>
      <c r="I201" s="13"/>
      <c r="J201" s="13"/>
      <c r="K201" s="13"/>
      <c r="L201" s="13"/>
      <c r="M201" s="15"/>
      <c r="N201" s="15"/>
      <c r="O201" s="15"/>
      <c r="P201" s="15"/>
      <c r="Q201" s="15"/>
      <c r="R201" s="16" t="str">
        <f>IF(COUNT(M201:Q201)&lt;5,"",(M201*Summary!$F$5+N201*Summary!$F$6+O201*Summary!$F$7+P201*Summary!$F$8+Q201*Summary!$F$9)/Summary!$F$10)</f>
        <v/>
      </c>
      <c r="S201" s="17" t="str">
        <f t="shared" si="1"/>
        <v/>
      </c>
      <c r="T201" s="17" t="str">
        <f>IF(S201="","",IF(S201&lt;=Summary!$B$5,"Featured candidate",""))</f>
        <v/>
      </c>
    </row>
    <row r="202" ht="14.25" customHeight="1">
      <c r="A202" s="17" t="str">
        <f t="shared" si="2"/>
        <v/>
      </c>
      <c r="B202" s="13"/>
      <c r="C202" s="13"/>
      <c r="D202" s="13"/>
      <c r="E202" s="13"/>
      <c r="F202" s="13"/>
      <c r="G202" s="13"/>
      <c r="H202" s="13"/>
      <c r="I202" s="13"/>
      <c r="J202" s="13"/>
      <c r="K202" s="13"/>
      <c r="L202" s="13"/>
      <c r="M202" s="15"/>
      <c r="N202" s="15"/>
      <c r="O202" s="15"/>
      <c r="P202" s="15"/>
      <c r="Q202" s="15"/>
      <c r="R202" s="16" t="str">
        <f>IF(COUNT(M202:Q202)&lt;5,"",(M202*Summary!$F$5+N202*Summary!$F$6+O202*Summary!$F$7+P202*Summary!$F$8+Q202*Summary!$F$9)/Summary!$F$10)</f>
        <v/>
      </c>
      <c r="S202" s="17" t="str">
        <f t="shared" si="1"/>
        <v/>
      </c>
      <c r="T202" s="17" t="str">
        <f>IF(S202="","",IF(S202&lt;=Summary!$B$5,"Featured candidate",""))</f>
        <v/>
      </c>
    </row>
    <row r="203" ht="14.25" customHeight="1">
      <c r="A203" s="17" t="str">
        <f t="shared" si="2"/>
        <v/>
      </c>
      <c r="B203" s="13"/>
      <c r="C203" s="13"/>
      <c r="D203" s="13"/>
      <c r="E203" s="13"/>
      <c r="F203" s="13"/>
      <c r="G203" s="13"/>
      <c r="H203" s="13"/>
      <c r="I203" s="13"/>
      <c r="J203" s="13"/>
      <c r="K203" s="13"/>
      <c r="L203" s="13"/>
      <c r="M203" s="15"/>
      <c r="N203" s="15"/>
      <c r="O203" s="15"/>
      <c r="P203" s="15"/>
      <c r="Q203" s="15"/>
      <c r="R203" s="16" t="str">
        <f>IF(COUNT(M203:Q203)&lt;5,"",(M203*Summary!$F$5+N203*Summary!$F$6+O203*Summary!$F$7+P203*Summary!$F$8+Q203*Summary!$F$9)/Summary!$F$10)</f>
        <v/>
      </c>
      <c r="S203" s="17" t="str">
        <f t="shared" si="1"/>
        <v/>
      </c>
      <c r="T203" s="17" t="str">
        <f>IF(S203="","",IF(S203&lt;=Summary!$B$5,"Featured candidate",""))</f>
        <v/>
      </c>
    </row>
    <row r="204" ht="14.25" customHeight="1">
      <c r="A204" s="17" t="str">
        <f t="shared" si="2"/>
        <v/>
      </c>
      <c r="B204" s="13"/>
      <c r="C204" s="13"/>
      <c r="D204" s="13"/>
      <c r="E204" s="13"/>
      <c r="F204" s="13"/>
      <c r="G204" s="13"/>
      <c r="H204" s="13"/>
      <c r="I204" s="13"/>
      <c r="J204" s="13"/>
      <c r="K204" s="13"/>
      <c r="L204" s="13"/>
      <c r="M204" s="15"/>
      <c r="N204" s="15"/>
      <c r="O204" s="15"/>
      <c r="P204" s="15"/>
      <c r="Q204" s="15"/>
      <c r="R204" s="16" t="str">
        <f>IF(COUNT(M204:Q204)&lt;5,"",(M204*Summary!$F$5+N204*Summary!$F$6+O204*Summary!$F$7+P204*Summary!$F$8+Q204*Summary!$F$9)/Summary!$F$10)</f>
        <v/>
      </c>
      <c r="S204" s="17" t="str">
        <f t="shared" si="1"/>
        <v/>
      </c>
      <c r="T204" s="17" t="str">
        <f>IF(S204="","",IF(S204&lt;=Summary!$B$5,"Featured candidate",""))</f>
        <v/>
      </c>
    </row>
    <row r="205" ht="14.25" customHeight="1">
      <c r="A205" s="17" t="str">
        <f t="shared" si="2"/>
        <v/>
      </c>
      <c r="B205" s="13"/>
      <c r="C205" s="13"/>
      <c r="D205" s="13"/>
      <c r="E205" s="13"/>
      <c r="F205" s="13"/>
      <c r="G205" s="13"/>
      <c r="H205" s="13"/>
      <c r="I205" s="13"/>
      <c r="J205" s="13"/>
      <c r="K205" s="13"/>
      <c r="L205" s="13"/>
      <c r="M205" s="15"/>
      <c r="N205" s="15"/>
      <c r="O205" s="15"/>
      <c r="P205" s="15"/>
      <c r="Q205" s="15"/>
      <c r="R205" s="16" t="str">
        <f>IF(COUNT(M205:Q205)&lt;5,"",(M205*Summary!$F$5+N205*Summary!$F$6+O205*Summary!$F$7+P205*Summary!$F$8+Q205*Summary!$F$9)/Summary!$F$10)</f>
        <v/>
      </c>
      <c r="S205" s="17" t="str">
        <f t="shared" si="1"/>
        <v/>
      </c>
      <c r="T205" s="17" t="str">
        <f>IF(S205="","",IF(S205&lt;=Summary!$B$5,"Featured candidate",""))</f>
        <v/>
      </c>
    </row>
    <row r="206" ht="14.25" customHeight="1">
      <c r="A206" s="17" t="str">
        <f t="shared" si="2"/>
        <v/>
      </c>
      <c r="B206" s="13"/>
      <c r="C206" s="13"/>
      <c r="D206" s="13"/>
      <c r="E206" s="13"/>
      <c r="F206" s="13"/>
      <c r="G206" s="13"/>
      <c r="H206" s="13"/>
      <c r="I206" s="13"/>
      <c r="J206" s="13"/>
      <c r="K206" s="13"/>
      <c r="L206" s="13"/>
      <c r="M206" s="15"/>
      <c r="N206" s="15"/>
      <c r="O206" s="15"/>
      <c r="P206" s="15"/>
      <c r="Q206" s="15"/>
      <c r="R206" s="16" t="str">
        <f>IF(COUNT(M206:Q206)&lt;5,"",(M206*Summary!$F$5+N206*Summary!$F$6+O206*Summary!$F$7+P206*Summary!$F$8+Q206*Summary!$F$9)/Summary!$F$10)</f>
        <v/>
      </c>
      <c r="S206" s="17" t="str">
        <f t="shared" si="1"/>
        <v/>
      </c>
      <c r="T206" s="17" t="str">
        <f>IF(S206="","",IF(S206&lt;=Summary!$B$5,"Featured candidate",""))</f>
        <v/>
      </c>
    </row>
    <row r="207" ht="14.25" customHeight="1">
      <c r="A207" s="17" t="str">
        <f t="shared" si="2"/>
        <v/>
      </c>
      <c r="B207" s="13"/>
      <c r="C207" s="13"/>
      <c r="D207" s="13"/>
      <c r="E207" s="13"/>
      <c r="F207" s="13"/>
      <c r="G207" s="13"/>
      <c r="H207" s="13"/>
      <c r="I207" s="13"/>
      <c r="J207" s="13"/>
      <c r="K207" s="13"/>
      <c r="L207" s="13"/>
      <c r="M207" s="15"/>
      <c r="N207" s="15"/>
      <c r="O207" s="15"/>
      <c r="P207" s="15"/>
      <c r="Q207" s="15"/>
      <c r="R207" s="16" t="str">
        <f>IF(COUNT(M207:Q207)&lt;5,"",(M207*Summary!$F$5+N207*Summary!$F$6+O207*Summary!$F$7+P207*Summary!$F$8+Q207*Summary!$F$9)/Summary!$F$10)</f>
        <v/>
      </c>
      <c r="S207" s="17" t="str">
        <f t="shared" si="1"/>
        <v/>
      </c>
      <c r="T207" s="17" t="str">
        <f>IF(S207="","",IF(S207&lt;=Summary!$B$5,"Featured candidate",""))</f>
        <v/>
      </c>
    </row>
    <row r="208" ht="14.25" customHeight="1">
      <c r="A208" s="17" t="str">
        <f t="shared" si="2"/>
        <v/>
      </c>
      <c r="B208" s="13"/>
      <c r="C208" s="13"/>
      <c r="D208" s="13"/>
      <c r="E208" s="13"/>
      <c r="F208" s="13"/>
      <c r="G208" s="13"/>
      <c r="H208" s="13"/>
      <c r="I208" s="13"/>
      <c r="J208" s="13"/>
      <c r="K208" s="13"/>
      <c r="L208" s="13"/>
      <c r="M208" s="15"/>
      <c r="N208" s="15"/>
      <c r="O208" s="15"/>
      <c r="P208" s="15"/>
      <c r="Q208" s="15"/>
      <c r="R208" s="16" t="str">
        <f>IF(COUNT(M208:Q208)&lt;5,"",(M208*Summary!$F$5+N208*Summary!$F$6+O208*Summary!$F$7+P208*Summary!$F$8+Q208*Summary!$F$9)/Summary!$F$10)</f>
        <v/>
      </c>
      <c r="S208" s="17" t="str">
        <f t="shared" si="1"/>
        <v/>
      </c>
      <c r="T208" s="17" t="str">
        <f>IF(S208="","",IF(S208&lt;=Summary!$B$5,"Featured candidate",""))</f>
        <v/>
      </c>
    </row>
    <row r="209" ht="14.25" customHeight="1">
      <c r="A209" s="17" t="str">
        <f t="shared" si="2"/>
        <v/>
      </c>
      <c r="B209" s="13"/>
      <c r="C209" s="13"/>
      <c r="D209" s="13"/>
      <c r="E209" s="13"/>
      <c r="F209" s="13"/>
      <c r="G209" s="13"/>
      <c r="H209" s="13"/>
      <c r="I209" s="13"/>
      <c r="J209" s="13"/>
      <c r="K209" s="13"/>
      <c r="L209" s="13"/>
      <c r="M209" s="15"/>
      <c r="N209" s="15"/>
      <c r="O209" s="15"/>
      <c r="P209" s="15"/>
      <c r="Q209" s="15"/>
      <c r="R209" s="16" t="str">
        <f>IF(COUNT(M209:Q209)&lt;5,"",(M209*Summary!$F$5+N209*Summary!$F$6+O209*Summary!$F$7+P209*Summary!$F$8+Q209*Summary!$F$9)/Summary!$F$10)</f>
        <v/>
      </c>
      <c r="S209" s="17" t="str">
        <f t="shared" si="1"/>
        <v/>
      </c>
      <c r="T209" s="17" t="str">
        <f>IF(S209="","",IF(S209&lt;=Summary!$B$5,"Featured candidate",""))</f>
        <v/>
      </c>
    </row>
    <row r="210" ht="14.25" customHeight="1">
      <c r="A210" s="17" t="str">
        <f t="shared" si="2"/>
        <v/>
      </c>
      <c r="B210" s="13"/>
      <c r="C210" s="13"/>
      <c r="D210" s="13"/>
      <c r="E210" s="13"/>
      <c r="F210" s="13"/>
      <c r="G210" s="13"/>
      <c r="H210" s="13"/>
      <c r="I210" s="13"/>
      <c r="J210" s="13"/>
      <c r="K210" s="13"/>
      <c r="L210" s="13"/>
      <c r="M210" s="15"/>
      <c r="N210" s="15"/>
      <c r="O210" s="15"/>
      <c r="P210" s="15"/>
      <c r="Q210" s="15"/>
      <c r="R210" s="16" t="str">
        <f>IF(COUNT(M210:Q210)&lt;5,"",(M210*Summary!$F$5+N210*Summary!$F$6+O210*Summary!$F$7+P210*Summary!$F$8+Q210*Summary!$F$9)/Summary!$F$10)</f>
        <v/>
      </c>
      <c r="S210" s="17" t="str">
        <f t="shared" si="1"/>
        <v/>
      </c>
      <c r="T210" s="17" t="str">
        <f>IF(S210="","",IF(S210&lt;=Summary!$B$5,"Featured candidate",""))</f>
        <v/>
      </c>
    </row>
    <row r="211" ht="14.25" customHeight="1">
      <c r="A211" s="17" t="str">
        <f t="shared" si="2"/>
        <v/>
      </c>
      <c r="B211" s="13"/>
      <c r="C211" s="13"/>
      <c r="D211" s="13"/>
      <c r="E211" s="13"/>
      <c r="F211" s="13"/>
      <c r="G211" s="13"/>
      <c r="H211" s="13"/>
      <c r="I211" s="13"/>
      <c r="J211" s="13"/>
      <c r="K211" s="13"/>
      <c r="L211" s="13"/>
      <c r="M211" s="15"/>
      <c r="N211" s="15"/>
      <c r="O211" s="15"/>
      <c r="P211" s="15"/>
      <c r="Q211" s="15"/>
      <c r="R211" s="16" t="str">
        <f>IF(COUNT(M211:Q211)&lt;5,"",(M211*Summary!$F$5+N211*Summary!$F$6+O211*Summary!$F$7+P211*Summary!$F$8+Q211*Summary!$F$9)/Summary!$F$10)</f>
        <v/>
      </c>
      <c r="S211" s="17" t="str">
        <f t="shared" si="1"/>
        <v/>
      </c>
      <c r="T211" s="17" t="str">
        <f>IF(S211="","",IF(S211&lt;=Summary!$B$5,"Featured candidate",""))</f>
        <v/>
      </c>
    </row>
    <row r="212" ht="14.25" customHeight="1">
      <c r="A212" s="17" t="str">
        <f t="shared" si="2"/>
        <v/>
      </c>
      <c r="B212" s="13"/>
      <c r="C212" s="13"/>
      <c r="D212" s="13"/>
      <c r="E212" s="13"/>
      <c r="F212" s="13"/>
      <c r="G212" s="13"/>
      <c r="H212" s="13"/>
      <c r="I212" s="13"/>
      <c r="J212" s="13"/>
      <c r="K212" s="13"/>
      <c r="L212" s="13"/>
      <c r="M212" s="15"/>
      <c r="N212" s="15"/>
      <c r="O212" s="15"/>
      <c r="P212" s="15"/>
      <c r="Q212" s="15"/>
      <c r="R212" s="16" t="str">
        <f>IF(COUNT(M212:Q212)&lt;5,"",(M212*Summary!$F$5+N212*Summary!$F$6+O212*Summary!$F$7+P212*Summary!$F$8+Q212*Summary!$F$9)/Summary!$F$10)</f>
        <v/>
      </c>
      <c r="S212" s="17" t="str">
        <f t="shared" si="1"/>
        <v/>
      </c>
      <c r="T212" s="17" t="str">
        <f>IF(S212="","",IF(S212&lt;=Summary!$B$5,"Featured candidate",""))</f>
        <v/>
      </c>
    </row>
    <row r="213" ht="14.25" customHeight="1">
      <c r="A213" s="17" t="str">
        <f t="shared" si="2"/>
        <v/>
      </c>
      <c r="B213" s="13"/>
      <c r="C213" s="13"/>
      <c r="D213" s="13"/>
      <c r="E213" s="13"/>
      <c r="F213" s="13"/>
      <c r="G213" s="13"/>
      <c r="H213" s="13"/>
      <c r="I213" s="13"/>
      <c r="J213" s="13"/>
      <c r="K213" s="13"/>
      <c r="L213" s="13"/>
      <c r="M213" s="15"/>
      <c r="N213" s="15"/>
      <c r="O213" s="15"/>
      <c r="P213" s="15"/>
      <c r="Q213" s="15"/>
      <c r="R213" s="16" t="str">
        <f>IF(COUNT(M213:Q213)&lt;5,"",(M213*Summary!$F$5+N213*Summary!$F$6+O213*Summary!$F$7+P213*Summary!$F$8+Q213*Summary!$F$9)/Summary!$F$10)</f>
        <v/>
      </c>
      <c r="S213" s="17" t="str">
        <f t="shared" si="1"/>
        <v/>
      </c>
      <c r="T213" s="17" t="str">
        <f>IF(S213="","",IF(S213&lt;=Summary!$B$5,"Featured candidate",""))</f>
        <v/>
      </c>
    </row>
    <row r="214" ht="14.25" customHeight="1">
      <c r="A214" s="17" t="str">
        <f t="shared" si="2"/>
        <v/>
      </c>
      <c r="B214" s="13"/>
      <c r="C214" s="13"/>
      <c r="D214" s="13"/>
      <c r="E214" s="13"/>
      <c r="F214" s="13"/>
      <c r="G214" s="13"/>
      <c r="H214" s="13"/>
      <c r="I214" s="13"/>
      <c r="J214" s="13"/>
      <c r="K214" s="13"/>
      <c r="L214" s="13"/>
      <c r="M214" s="15"/>
      <c r="N214" s="15"/>
      <c r="O214" s="15"/>
      <c r="P214" s="15"/>
      <c r="Q214" s="15"/>
      <c r="R214" s="16" t="str">
        <f>IF(COUNT(M214:Q214)&lt;5,"",(M214*Summary!$F$5+N214*Summary!$F$6+O214*Summary!$F$7+P214*Summary!$F$8+Q214*Summary!$F$9)/Summary!$F$10)</f>
        <v/>
      </c>
      <c r="S214" s="17" t="str">
        <f t="shared" si="1"/>
        <v/>
      </c>
      <c r="T214" s="17" t="str">
        <f>IF(S214="","",IF(S214&lt;=Summary!$B$5,"Featured candidate",""))</f>
        <v/>
      </c>
    </row>
    <row r="215" ht="14.25" customHeight="1">
      <c r="A215" s="17" t="str">
        <f t="shared" si="2"/>
        <v/>
      </c>
      <c r="B215" s="13"/>
      <c r="C215" s="13"/>
      <c r="D215" s="13"/>
      <c r="E215" s="13"/>
      <c r="F215" s="13"/>
      <c r="G215" s="13"/>
      <c r="H215" s="13"/>
      <c r="I215" s="13"/>
      <c r="J215" s="13"/>
      <c r="K215" s="13"/>
      <c r="L215" s="13"/>
      <c r="M215" s="15"/>
      <c r="N215" s="15"/>
      <c r="O215" s="15"/>
      <c r="P215" s="15"/>
      <c r="Q215" s="15"/>
      <c r="R215" s="16" t="str">
        <f>IF(COUNT(M215:Q215)&lt;5,"",(M215*Summary!$F$5+N215*Summary!$F$6+O215*Summary!$F$7+P215*Summary!$F$8+Q215*Summary!$F$9)/Summary!$F$10)</f>
        <v/>
      </c>
      <c r="S215" s="17" t="str">
        <f t="shared" si="1"/>
        <v/>
      </c>
      <c r="T215" s="17" t="str">
        <f>IF(S215="","",IF(S215&lt;=Summary!$B$5,"Featured candidate",""))</f>
        <v/>
      </c>
    </row>
    <row r="216" ht="14.25" customHeight="1">
      <c r="A216" s="17" t="str">
        <f t="shared" si="2"/>
        <v/>
      </c>
      <c r="B216" s="13"/>
      <c r="C216" s="13"/>
      <c r="D216" s="13"/>
      <c r="E216" s="13"/>
      <c r="F216" s="13"/>
      <c r="G216" s="13"/>
      <c r="H216" s="13"/>
      <c r="I216" s="13"/>
      <c r="J216" s="13"/>
      <c r="K216" s="13"/>
      <c r="L216" s="13"/>
      <c r="M216" s="15"/>
      <c r="N216" s="15"/>
      <c r="O216" s="15"/>
      <c r="P216" s="15"/>
      <c r="Q216" s="15"/>
      <c r="R216" s="16" t="str">
        <f>IF(COUNT(M216:Q216)&lt;5,"",(M216*Summary!$F$5+N216*Summary!$F$6+O216*Summary!$F$7+P216*Summary!$F$8+Q216*Summary!$F$9)/Summary!$F$10)</f>
        <v/>
      </c>
      <c r="S216" s="17" t="str">
        <f t="shared" si="1"/>
        <v/>
      </c>
      <c r="T216" s="17" t="str">
        <f>IF(S216="","",IF(S216&lt;=Summary!$B$5,"Featured candidate",""))</f>
        <v/>
      </c>
    </row>
    <row r="217" ht="14.25" customHeight="1">
      <c r="A217" s="17" t="str">
        <f t="shared" si="2"/>
        <v/>
      </c>
      <c r="B217" s="13"/>
      <c r="C217" s="13"/>
      <c r="D217" s="13"/>
      <c r="E217" s="13"/>
      <c r="F217" s="13"/>
      <c r="G217" s="13"/>
      <c r="H217" s="13"/>
      <c r="I217" s="13"/>
      <c r="J217" s="13"/>
      <c r="K217" s="13"/>
      <c r="L217" s="13"/>
      <c r="M217" s="15"/>
      <c r="N217" s="15"/>
      <c r="O217" s="15"/>
      <c r="P217" s="15"/>
      <c r="Q217" s="15"/>
      <c r="R217" s="16" t="str">
        <f>IF(COUNT(M217:Q217)&lt;5,"",(M217*Summary!$F$5+N217*Summary!$F$6+O217*Summary!$F$7+P217*Summary!$F$8+Q217*Summary!$F$9)/Summary!$F$10)</f>
        <v/>
      </c>
      <c r="S217" s="17" t="str">
        <f t="shared" si="1"/>
        <v/>
      </c>
      <c r="T217" s="17" t="str">
        <f>IF(S217="","",IF(S217&lt;=Summary!$B$5,"Featured candidate",""))</f>
        <v/>
      </c>
    </row>
    <row r="218" ht="14.25" customHeight="1">
      <c r="A218" s="17" t="str">
        <f t="shared" si="2"/>
        <v/>
      </c>
      <c r="B218" s="13"/>
      <c r="C218" s="13"/>
      <c r="D218" s="13"/>
      <c r="E218" s="13"/>
      <c r="F218" s="13"/>
      <c r="G218" s="13"/>
      <c r="H218" s="13"/>
      <c r="I218" s="13"/>
      <c r="J218" s="13"/>
      <c r="K218" s="13"/>
      <c r="L218" s="13"/>
      <c r="M218" s="15"/>
      <c r="N218" s="15"/>
      <c r="O218" s="15"/>
      <c r="P218" s="15"/>
      <c r="Q218" s="15"/>
      <c r="R218" s="16" t="str">
        <f>IF(COUNT(M218:Q218)&lt;5,"",(M218*Summary!$F$5+N218*Summary!$F$6+O218*Summary!$F$7+P218*Summary!$F$8+Q218*Summary!$F$9)/Summary!$F$10)</f>
        <v/>
      </c>
      <c r="S218" s="17" t="str">
        <f t="shared" si="1"/>
        <v/>
      </c>
      <c r="T218" s="17" t="str">
        <f>IF(S218="","",IF(S218&lt;=Summary!$B$5,"Featured candidate",""))</f>
        <v/>
      </c>
    </row>
    <row r="219" ht="14.25" customHeight="1">
      <c r="A219" s="17" t="str">
        <f t="shared" si="2"/>
        <v/>
      </c>
      <c r="B219" s="13"/>
      <c r="C219" s="13"/>
      <c r="D219" s="13"/>
      <c r="E219" s="13"/>
      <c r="F219" s="13"/>
      <c r="G219" s="13"/>
      <c r="H219" s="13"/>
      <c r="I219" s="13"/>
      <c r="J219" s="13"/>
      <c r="K219" s="13"/>
      <c r="L219" s="13"/>
      <c r="M219" s="15"/>
      <c r="N219" s="15"/>
      <c r="O219" s="15"/>
      <c r="P219" s="15"/>
      <c r="Q219" s="15"/>
      <c r="R219" s="16" t="str">
        <f>IF(COUNT(M219:Q219)&lt;5,"",(M219*Summary!$F$5+N219*Summary!$F$6+O219*Summary!$F$7+P219*Summary!$F$8+Q219*Summary!$F$9)/Summary!$F$10)</f>
        <v/>
      </c>
      <c r="S219" s="17" t="str">
        <f t="shared" si="1"/>
        <v/>
      </c>
      <c r="T219" s="17" t="str">
        <f>IF(S219="","",IF(S219&lt;=Summary!$B$5,"Featured candidate",""))</f>
        <v/>
      </c>
    </row>
    <row r="220" ht="14.25" customHeight="1">
      <c r="A220" s="17" t="str">
        <f t="shared" si="2"/>
        <v/>
      </c>
      <c r="B220" s="13"/>
      <c r="C220" s="13"/>
      <c r="D220" s="13"/>
      <c r="E220" s="13"/>
      <c r="F220" s="13"/>
      <c r="G220" s="13"/>
      <c r="H220" s="13"/>
      <c r="I220" s="13"/>
      <c r="J220" s="13"/>
      <c r="K220" s="13"/>
      <c r="L220" s="13"/>
      <c r="M220" s="15"/>
      <c r="N220" s="15"/>
      <c r="O220" s="15"/>
      <c r="P220" s="15"/>
      <c r="Q220" s="15"/>
      <c r="R220" s="16" t="str">
        <f>IF(COUNT(M220:Q220)&lt;5,"",(M220*Summary!$F$5+N220*Summary!$F$6+O220*Summary!$F$7+P220*Summary!$F$8+Q220*Summary!$F$9)/Summary!$F$10)</f>
        <v/>
      </c>
      <c r="S220" s="17" t="str">
        <f t="shared" si="1"/>
        <v/>
      </c>
      <c r="T220" s="17" t="str">
        <f>IF(S220="","",IF(S220&lt;=Summary!$B$5,"Featured candidate",""))</f>
        <v/>
      </c>
    </row>
    <row r="221" ht="14.25" customHeight="1">
      <c r="A221" s="17" t="str">
        <f t="shared" si="2"/>
        <v/>
      </c>
      <c r="B221" s="13"/>
      <c r="C221" s="13"/>
      <c r="D221" s="13"/>
      <c r="E221" s="13"/>
      <c r="F221" s="13"/>
      <c r="G221" s="13"/>
      <c r="H221" s="13"/>
      <c r="I221" s="13"/>
      <c r="J221" s="13"/>
      <c r="K221" s="13"/>
      <c r="L221" s="13"/>
      <c r="M221" s="15"/>
      <c r="N221" s="15"/>
      <c r="O221" s="15"/>
      <c r="P221" s="15"/>
      <c r="Q221" s="15"/>
      <c r="R221" s="16" t="str">
        <f>IF(COUNT(M221:Q221)&lt;5,"",(M221*Summary!$F$5+N221*Summary!$F$6+O221*Summary!$F$7+P221*Summary!$F$8+Q221*Summary!$F$9)/Summary!$F$10)</f>
        <v/>
      </c>
      <c r="S221" s="17" t="str">
        <f t="shared" si="1"/>
        <v/>
      </c>
      <c r="T221" s="17" t="str">
        <f>IF(S221="","",IF(S221&lt;=Summary!$B$5,"Featured candidate",""))</f>
        <v/>
      </c>
    </row>
    <row r="222" ht="14.25" customHeight="1">
      <c r="A222" s="17" t="str">
        <f t="shared" si="2"/>
        <v/>
      </c>
      <c r="B222" s="13"/>
      <c r="C222" s="13"/>
      <c r="D222" s="13"/>
      <c r="E222" s="13"/>
      <c r="F222" s="13"/>
      <c r="G222" s="13"/>
      <c r="H222" s="13"/>
      <c r="I222" s="13"/>
      <c r="J222" s="13"/>
      <c r="K222" s="13"/>
      <c r="L222" s="13"/>
      <c r="M222" s="15"/>
      <c r="N222" s="15"/>
      <c r="O222" s="15"/>
      <c r="P222" s="15"/>
      <c r="Q222" s="15"/>
      <c r="R222" s="16" t="str">
        <f>IF(COUNT(M222:Q222)&lt;5,"",(M222*Summary!$F$5+N222*Summary!$F$6+O222*Summary!$F$7+P222*Summary!$F$8+Q222*Summary!$F$9)/Summary!$F$10)</f>
        <v/>
      </c>
      <c r="S222" s="17" t="str">
        <f t="shared" si="1"/>
        <v/>
      </c>
      <c r="T222" s="17" t="str">
        <f>IF(S222="","",IF(S222&lt;=Summary!$B$5,"Featured candidate",""))</f>
        <v/>
      </c>
    </row>
    <row r="223" ht="14.25" customHeight="1">
      <c r="A223" s="17" t="str">
        <f t="shared" si="2"/>
        <v/>
      </c>
      <c r="B223" s="13"/>
      <c r="C223" s="13"/>
      <c r="D223" s="13"/>
      <c r="E223" s="13"/>
      <c r="F223" s="13"/>
      <c r="G223" s="13"/>
      <c r="H223" s="13"/>
      <c r="I223" s="13"/>
      <c r="J223" s="13"/>
      <c r="K223" s="13"/>
      <c r="L223" s="13"/>
      <c r="M223" s="15"/>
      <c r="N223" s="15"/>
      <c r="O223" s="15"/>
      <c r="P223" s="15"/>
      <c r="Q223" s="15"/>
      <c r="R223" s="16" t="str">
        <f>IF(COUNT(M223:Q223)&lt;5,"",(M223*Summary!$F$5+N223*Summary!$F$6+O223*Summary!$F$7+P223*Summary!$F$8+Q223*Summary!$F$9)/Summary!$F$10)</f>
        <v/>
      </c>
      <c r="S223" s="17" t="str">
        <f t="shared" si="1"/>
        <v/>
      </c>
      <c r="T223" s="17" t="str">
        <f>IF(S223="","",IF(S223&lt;=Summary!$B$5,"Featured candidate",""))</f>
        <v/>
      </c>
    </row>
    <row r="224" ht="14.25" customHeight="1">
      <c r="A224" s="17" t="str">
        <f t="shared" si="2"/>
        <v/>
      </c>
      <c r="B224" s="13"/>
      <c r="C224" s="13"/>
      <c r="D224" s="13"/>
      <c r="E224" s="13"/>
      <c r="F224" s="13"/>
      <c r="G224" s="13"/>
      <c r="H224" s="13"/>
      <c r="I224" s="13"/>
      <c r="J224" s="13"/>
      <c r="K224" s="13"/>
      <c r="L224" s="13"/>
      <c r="M224" s="15"/>
      <c r="N224" s="15"/>
      <c r="O224" s="15"/>
      <c r="P224" s="15"/>
      <c r="Q224" s="15"/>
      <c r="R224" s="16" t="str">
        <f>IF(COUNT(M224:Q224)&lt;5,"",(M224*Summary!$F$5+N224*Summary!$F$6+O224*Summary!$F$7+P224*Summary!$F$8+Q224*Summary!$F$9)/Summary!$F$10)</f>
        <v/>
      </c>
      <c r="S224" s="17" t="str">
        <f t="shared" si="1"/>
        <v/>
      </c>
      <c r="T224" s="17" t="str">
        <f>IF(S224="","",IF(S224&lt;=Summary!$B$5,"Featured candidate",""))</f>
        <v/>
      </c>
    </row>
    <row r="225" ht="14.25" customHeight="1">
      <c r="A225" s="17" t="str">
        <f t="shared" si="2"/>
        <v/>
      </c>
      <c r="B225" s="13"/>
      <c r="C225" s="13"/>
      <c r="D225" s="13"/>
      <c r="E225" s="13"/>
      <c r="F225" s="13"/>
      <c r="G225" s="13"/>
      <c r="H225" s="13"/>
      <c r="I225" s="13"/>
      <c r="J225" s="13"/>
      <c r="K225" s="13"/>
      <c r="L225" s="13"/>
      <c r="M225" s="15"/>
      <c r="N225" s="15"/>
      <c r="O225" s="15"/>
      <c r="P225" s="15"/>
      <c r="Q225" s="15"/>
      <c r="R225" s="16" t="str">
        <f>IF(COUNT(M225:Q225)&lt;5,"",(M225*Summary!$F$5+N225*Summary!$F$6+O225*Summary!$F$7+P225*Summary!$F$8+Q225*Summary!$F$9)/Summary!$F$10)</f>
        <v/>
      </c>
      <c r="S225" s="17" t="str">
        <f t="shared" si="1"/>
        <v/>
      </c>
      <c r="T225" s="17" t="str">
        <f>IF(S225="","",IF(S225&lt;=Summary!$B$5,"Featured candidate",""))</f>
        <v/>
      </c>
    </row>
    <row r="226" ht="14.25" customHeight="1">
      <c r="A226" s="17" t="str">
        <f t="shared" si="2"/>
        <v/>
      </c>
      <c r="B226" s="13"/>
      <c r="C226" s="13"/>
      <c r="D226" s="13"/>
      <c r="E226" s="13"/>
      <c r="F226" s="13"/>
      <c r="G226" s="13"/>
      <c r="H226" s="13"/>
      <c r="I226" s="13"/>
      <c r="J226" s="13"/>
      <c r="K226" s="13"/>
      <c r="L226" s="13"/>
      <c r="M226" s="15"/>
      <c r="N226" s="15"/>
      <c r="O226" s="15"/>
      <c r="P226" s="15"/>
      <c r="Q226" s="15"/>
      <c r="R226" s="16" t="str">
        <f>IF(COUNT(M226:Q226)&lt;5,"",(M226*Summary!$F$5+N226*Summary!$F$6+O226*Summary!$F$7+P226*Summary!$F$8+Q226*Summary!$F$9)/Summary!$F$10)</f>
        <v/>
      </c>
      <c r="S226" s="17" t="str">
        <f t="shared" si="1"/>
        <v/>
      </c>
      <c r="T226" s="17" t="str">
        <f>IF(S226="","",IF(S226&lt;=Summary!$B$5,"Featured candidate",""))</f>
        <v/>
      </c>
    </row>
    <row r="227" ht="14.25" customHeight="1">
      <c r="A227" s="17" t="str">
        <f t="shared" si="2"/>
        <v/>
      </c>
      <c r="B227" s="13"/>
      <c r="C227" s="13"/>
      <c r="D227" s="13"/>
      <c r="E227" s="13"/>
      <c r="F227" s="13"/>
      <c r="G227" s="13"/>
      <c r="H227" s="13"/>
      <c r="I227" s="13"/>
      <c r="J227" s="13"/>
      <c r="K227" s="13"/>
      <c r="L227" s="13"/>
      <c r="M227" s="15"/>
      <c r="N227" s="15"/>
      <c r="O227" s="15"/>
      <c r="P227" s="15"/>
      <c r="Q227" s="15"/>
      <c r="R227" s="16" t="str">
        <f>IF(COUNT(M227:Q227)&lt;5,"",(M227*Summary!$F$5+N227*Summary!$F$6+O227*Summary!$F$7+P227*Summary!$F$8+Q227*Summary!$F$9)/Summary!$F$10)</f>
        <v/>
      </c>
      <c r="S227" s="17" t="str">
        <f t="shared" si="1"/>
        <v/>
      </c>
      <c r="T227" s="17" t="str">
        <f>IF(S227="","",IF(S227&lt;=Summary!$B$5,"Featured candidate",""))</f>
        <v/>
      </c>
    </row>
    <row r="228" ht="14.25" customHeight="1">
      <c r="A228" s="17" t="str">
        <f t="shared" si="2"/>
        <v/>
      </c>
      <c r="B228" s="13"/>
      <c r="C228" s="13"/>
      <c r="D228" s="13"/>
      <c r="E228" s="13"/>
      <c r="F228" s="13"/>
      <c r="G228" s="13"/>
      <c r="H228" s="13"/>
      <c r="I228" s="13"/>
      <c r="J228" s="13"/>
      <c r="K228" s="13"/>
      <c r="L228" s="13"/>
      <c r="M228" s="15"/>
      <c r="N228" s="15"/>
      <c r="O228" s="15"/>
      <c r="P228" s="15"/>
      <c r="Q228" s="15"/>
      <c r="R228" s="16" t="str">
        <f>IF(COUNT(M228:Q228)&lt;5,"",(M228*Summary!$F$5+N228*Summary!$F$6+O228*Summary!$F$7+P228*Summary!$F$8+Q228*Summary!$F$9)/Summary!$F$10)</f>
        <v/>
      </c>
      <c r="S228" s="17" t="str">
        <f t="shared" si="1"/>
        <v/>
      </c>
      <c r="T228" s="17" t="str">
        <f>IF(S228="","",IF(S228&lt;=Summary!$B$5,"Featured candidate",""))</f>
        <v/>
      </c>
    </row>
    <row r="229" ht="14.25" customHeight="1">
      <c r="A229" s="17" t="str">
        <f t="shared" si="2"/>
        <v/>
      </c>
      <c r="B229" s="13"/>
      <c r="C229" s="13"/>
      <c r="D229" s="13"/>
      <c r="E229" s="13"/>
      <c r="F229" s="13"/>
      <c r="G229" s="13"/>
      <c r="H229" s="13"/>
      <c r="I229" s="13"/>
      <c r="J229" s="13"/>
      <c r="K229" s="13"/>
      <c r="L229" s="13"/>
      <c r="M229" s="15"/>
      <c r="N229" s="15"/>
      <c r="O229" s="15"/>
      <c r="P229" s="15"/>
      <c r="Q229" s="15"/>
      <c r="R229" s="16" t="str">
        <f>IF(COUNT(M229:Q229)&lt;5,"",(M229*Summary!$F$5+N229*Summary!$F$6+O229*Summary!$F$7+P229*Summary!$F$8+Q229*Summary!$F$9)/Summary!$F$10)</f>
        <v/>
      </c>
      <c r="S229" s="17" t="str">
        <f t="shared" si="1"/>
        <v/>
      </c>
      <c r="T229" s="17" t="str">
        <f>IF(S229="","",IF(S229&lt;=Summary!$B$5,"Featured candidate",""))</f>
        <v/>
      </c>
    </row>
    <row r="230" ht="14.25" customHeight="1">
      <c r="A230" s="17" t="str">
        <f t="shared" si="2"/>
        <v/>
      </c>
      <c r="B230" s="13"/>
      <c r="C230" s="13"/>
      <c r="D230" s="13"/>
      <c r="E230" s="13"/>
      <c r="F230" s="13"/>
      <c r="G230" s="13"/>
      <c r="H230" s="13"/>
      <c r="I230" s="13"/>
      <c r="J230" s="13"/>
      <c r="K230" s="13"/>
      <c r="L230" s="13"/>
      <c r="M230" s="15"/>
      <c r="N230" s="15"/>
      <c r="O230" s="15"/>
      <c r="P230" s="15"/>
      <c r="Q230" s="15"/>
      <c r="R230" s="16" t="str">
        <f>IF(COUNT(M230:Q230)&lt;5,"",(M230*Summary!$F$5+N230*Summary!$F$6+O230*Summary!$F$7+P230*Summary!$F$8+Q230*Summary!$F$9)/Summary!$F$10)</f>
        <v/>
      </c>
      <c r="S230" s="17" t="str">
        <f t="shared" si="1"/>
        <v/>
      </c>
      <c r="T230" s="17" t="str">
        <f>IF(S230="","",IF(S230&lt;=Summary!$B$5,"Featured candidate",""))</f>
        <v/>
      </c>
    </row>
    <row r="231" ht="14.25" customHeight="1">
      <c r="A231" s="17" t="str">
        <f t="shared" si="2"/>
        <v/>
      </c>
      <c r="B231" s="13"/>
      <c r="C231" s="13"/>
      <c r="D231" s="13"/>
      <c r="E231" s="13"/>
      <c r="F231" s="13"/>
      <c r="G231" s="13"/>
      <c r="H231" s="13"/>
      <c r="I231" s="13"/>
      <c r="J231" s="13"/>
      <c r="K231" s="13"/>
      <c r="L231" s="13"/>
      <c r="M231" s="15"/>
      <c r="N231" s="15"/>
      <c r="O231" s="15"/>
      <c r="P231" s="15"/>
      <c r="Q231" s="15"/>
      <c r="R231" s="16" t="str">
        <f>IF(COUNT(M231:Q231)&lt;5,"",(M231*Summary!$F$5+N231*Summary!$F$6+O231*Summary!$F$7+P231*Summary!$F$8+Q231*Summary!$F$9)/Summary!$F$10)</f>
        <v/>
      </c>
      <c r="S231" s="17" t="str">
        <f t="shared" si="1"/>
        <v/>
      </c>
      <c r="T231" s="17" t="str">
        <f>IF(S231="","",IF(S231&lt;=Summary!$B$5,"Featured candidate",""))</f>
        <v/>
      </c>
    </row>
    <row r="232" ht="14.25" customHeight="1">
      <c r="A232" s="17" t="str">
        <f t="shared" si="2"/>
        <v/>
      </c>
      <c r="B232" s="13"/>
      <c r="C232" s="13"/>
      <c r="D232" s="13"/>
      <c r="E232" s="13"/>
      <c r="F232" s="13"/>
      <c r="G232" s="13"/>
      <c r="H232" s="13"/>
      <c r="I232" s="13"/>
      <c r="J232" s="13"/>
      <c r="K232" s="13"/>
      <c r="L232" s="13"/>
      <c r="M232" s="15"/>
      <c r="N232" s="15"/>
      <c r="O232" s="15"/>
      <c r="P232" s="15"/>
      <c r="Q232" s="15"/>
      <c r="R232" s="16" t="str">
        <f>IF(COUNT(M232:Q232)&lt;5,"",(M232*Summary!$F$5+N232*Summary!$F$6+O232*Summary!$F$7+P232*Summary!$F$8+Q232*Summary!$F$9)/Summary!$F$10)</f>
        <v/>
      </c>
      <c r="S232" s="17" t="str">
        <f t="shared" si="1"/>
        <v/>
      </c>
      <c r="T232" s="17" t="str">
        <f>IF(S232="","",IF(S232&lt;=Summary!$B$5,"Featured candidate",""))</f>
        <v/>
      </c>
    </row>
    <row r="233" ht="14.25" customHeight="1">
      <c r="A233" s="17" t="str">
        <f t="shared" si="2"/>
        <v/>
      </c>
      <c r="B233" s="13"/>
      <c r="C233" s="13"/>
      <c r="D233" s="13"/>
      <c r="E233" s="13"/>
      <c r="F233" s="13"/>
      <c r="G233" s="13"/>
      <c r="H233" s="13"/>
      <c r="I233" s="13"/>
      <c r="J233" s="13"/>
      <c r="K233" s="13"/>
      <c r="L233" s="13"/>
      <c r="M233" s="15"/>
      <c r="N233" s="15"/>
      <c r="O233" s="15"/>
      <c r="P233" s="15"/>
      <c r="Q233" s="15"/>
      <c r="R233" s="16" t="str">
        <f>IF(COUNT(M233:Q233)&lt;5,"",(M233*Summary!$F$5+N233*Summary!$F$6+O233*Summary!$F$7+P233*Summary!$F$8+Q233*Summary!$F$9)/Summary!$F$10)</f>
        <v/>
      </c>
      <c r="S233" s="17" t="str">
        <f t="shared" si="1"/>
        <v/>
      </c>
      <c r="T233" s="17" t="str">
        <f>IF(S233="","",IF(S233&lt;=Summary!$B$5,"Featured candidate",""))</f>
        <v/>
      </c>
    </row>
    <row r="234" ht="14.25" customHeight="1">
      <c r="A234" s="17" t="str">
        <f t="shared" si="2"/>
        <v/>
      </c>
      <c r="B234" s="13"/>
      <c r="C234" s="13"/>
      <c r="D234" s="13"/>
      <c r="E234" s="13"/>
      <c r="F234" s="13"/>
      <c r="G234" s="13"/>
      <c r="H234" s="13"/>
      <c r="I234" s="13"/>
      <c r="J234" s="13"/>
      <c r="K234" s="13"/>
      <c r="L234" s="13"/>
      <c r="M234" s="15"/>
      <c r="N234" s="15"/>
      <c r="O234" s="15"/>
      <c r="P234" s="15"/>
      <c r="Q234" s="15"/>
      <c r="R234" s="16" t="str">
        <f>IF(COUNT(M234:Q234)&lt;5,"",(M234*Summary!$F$5+N234*Summary!$F$6+O234*Summary!$F$7+P234*Summary!$F$8+Q234*Summary!$F$9)/Summary!$F$10)</f>
        <v/>
      </c>
      <c r="S234" s="17" t="str">
        <f t="shared" si="1"/>
        <v/>
      </c>
      <c r="T234" s="17" t="str">
        <f>IF(S234="","",IF(S234&lt;=Summary!$B$5,"Featured candidate",""))</f>
        <v/>
      </c>
    </row>
    <row r="235" ht="14.25" customHeight="1">
      <c r="A235" s="17" t="str">
        <f t="shared" si="2"/>
        <v/>
      </c>
      <c r="B235" s="13"/>
      <c r="C235" s="13"/>
      <c r="D235" s="13"/>
      <c r="E235" s="13"/>
      <c r="F235" s="13"/>
      <c r="G235" s="13"/>
      <c r="H235" s="13"/>
      <c r="I235" s="13"/>
      <c r="J235" s="13"/>
      <c r="K235" s="13"/>
      <c r="L235" s="13"/>
      <c r="M235" s="15"/>
      <c r="N235" s="15"/>
      <c r="O235" s="15"/>
      <c r="P235" s="15"/>
      <c r="Q235" s="15"/>
      <c r="R235" s="16" t="str">
        <f>IF(COUNT(M235:Q235)&lt;5,"",(M235*Summary!$F$5+N235*Summary!$F$6+O235*Summary!$F$7+P235*Summary!$F$8+Q235*Summary!$F$9)/Summary!$F$10)</f>
        <v/>
      </c>
      <c r="S235" s="17" t="str">
        <f t="shared" si="1"/>
        <v/>
      </c>
      <c r="T235" s="17" t="str">
        <f>IF(S235="","",IF(S235&lt;=Summary!$B$5,"Featured candidate",""))</f>
        <v/>
      </c>
    </row>
    <row r="236" ht="14.25" customHeight="1">
      <c r="A236" s="17" t="str">
        <f t="shared" si="2"/>
        <v/>
      </c>
      <c r="B236" s="13"/>
      <c r="C236" s="13"/>
      <c r="D236" s="13"/>
      <c r="E236" s="13"/>
      <c r="F236" s="13"/>
      <c r="G236" s="13"/>
      <c r="H236" s="13"/>
      <c r="I236" s="13"/>
      <c r="J236" s="13"/>
      <c r="K236" s="13"/>
      <c r="L236" s="13"/>
      <c r="M236" s="15"/>
      <c r="N236" s="15"/>
      <c r="O236" s="15"/>
      <c r="P236" s="15"/>
      <c r="Q236" s="15"/>
      <c r="R236" s="16" t="str">
        <f>IF(COUNT(M236:Q236)&lt;5,"",(M236*Summary!$F$5+N236*Summary!$F$6+O236*Summary!$F$7+P236*Summary!$F$8+Q236*Summary!$F$9)/Summary!$F$10)</f>
        <v/>
      </c>
      <c r="S236" s="17" t="str">
        <f t="shared" si="1"/>
        <v/>
      </c>
      <c r="T236" s="17" t="str">
        <f>IF(S236="","",IF(S236&lt;=Summary!$B$5,"Featured candidate",""))</f>
        <v/>
      </c>
    </row>
    <row r="237" ht="14.25" customHeight="1">
      <c r="A237" s="17" t="str">
        <f t="shared" si="2"/>
        <v/>
      </c>
      <c r="B237" s="13"/>
      <c r="C237" s="13"/>
      <c r="D237" s="13"/>
      <c r="E237" s="13"/>
      <c r="F237" s="13"/>
      <c r="G237" s="13"/>
      <c r="H237" s="13"/>
      <c r="I237" s="13"/>
      <c r="J237" s="13"/>
      <c r="K237" s="13"/>
      <c r="L237" s="13"/>
      <c r="M237" s="15"/>
      <c r="N237" s="15"/>
      <c r="O237" s="15"/>
      <c r="P237" s="15"/>
      <c r="Q237" s="15"/>
      <c r="R237" s="16" t="str">
        <f>IF(COUNT(M237:Q237)&lt;5,"",(M237*Summary!$F$5+N237*Summary!$F$6+O237*Summary!$F$7+P237*Summary!$F$8+Q237*Summary!$F$9)/Summary!$F$10)</f>
        <v/>
      </c>
      <c r="S237" s="17" t="str">
        <f t="shared" si="1"/>
        <v/>
      </c>
      <c r="T237" s="17" t="str">
        <f>IF(S237="","",IF(S237&lt;=Summary!$B$5,"Featured candidate",""))</f>
        <v/>
      </c>
    </row>
    <row r="238" ht="14.25" customHeight="1">
      <c r="A238" s="17" t="str">
        <f t="shared" si="2"/>
        <v/>
      </c>
      <c r="B238" s="13"/>
      <c r="C238" s="13"/>
      <c r="D238" s="13"/>
      <c r="E238" s="13"/>
      <c r="F238" s="13"/>
      <c r="G238" s="13"/>
      <c r="H238" s="13"/>
      <c r="I238" s="13"/>
      <c r="J238" s="13"/>
      <c r="K238" s="13"/>
      <c r="L238" s="13"/>
      <c r="M238" s="15"/>
      <c r="N238" s="15"/>
      <c r="O238" s="15"/>
      <c r="P238" s="15"/>
      <c r="Q238" s="15"/>
      <c r="R238" s="16" t="str">
        <f>IF(COUNT(M238:Q238)&lt;5,"",(M238*Summary!$F$5+N238*Summary!$F$6+O238*Summary!$F$7+P238*Summary!$F$8+Q238*Summary!$F$9)/Summary!$F$10)</f>
        <v/>
      </c>
      <c r="S238" s="17" t="str">
        <f t="shared" si="1"/>
        <v/>
      </c>
      <c r="T238" s="17" t="str">
        <f>IF(S238="","",IF(S238&lt;=Summary!$B$5,"Featured candidate",""))</f>
        <v/>
      </c>
    </row>
    <row r="239" ht="14.25" customHeight="1">
      <c r="A239" s="17" t="str">
        <f t="shared" si="2"/>
        <v/>
      </c>
      <c r="B239" s="13"/>
      <c r="C239" s="13"/>
      <c r="D239" s="13"/>
      <c r="E239" s="13"/>
      <c r="F239" s="13"/>
      <c r="G239" s="13"/>
      <c r="H239" s="13"/>
      <c r="I239" s="13"/>
      <c r="J239" s="13"/>
      <c r="K239" s="13"/>
      <c r="L239" s="13"/>
      <c r="M239" s="15"/>
      <c r="N239" s="15"/>
      <c r="O239" s="15"/>
      <c r="P239" s="15"/>
      <c r="Q239" s="15"/>
      <c r="R239" s="16" t="str">
        <f>IF(COUNT(M239:Q239)&lt;5,"",(M239*Summary!$F$5+N239*Summary!$F$6+O239*Summary!$F$7+P239*Summary!$F$8+Q239*Summary!$F$9)/Summary!$F$10)</f>
        <v/>
      </c>
      <c r="S239" s="17" t="str">
        <f t="shared" si="1"/>
        <v/>
      </c>
      <c r="T239" s="17" t="str">
        <f>IF(S239="","",IF(S239&lt;=Summary!$B$5,"Featured candidate",""))</f>
        <v/>
      </c>
    </row>
    <row r="240" ht="14.25" customHeight="1">
      <c r="A240" s="17" t="str">
        <f t="shared" si="2"/>
        <v/>
      </c>
      <c r="B240" s="13"/>
      <c r="C240" s="13"/>
      <c r="D240" s="13"/>
      <c r="E240" s="13"/>
      <c r="F240" s="13"/>
      <c r="G240" s="13"/>
      <c r="H240" s="13"/>
      <c r="I240" s="13"/>
      <c r="J240" s="13"/>
      <c r="K240" s="13"/>
      <c r="L240" s="13"/>
      <c r="M240" s="15"/>
      <c r="N240" s="15"/>
      <c r="O240" s="15"/>
      <c r="P240" s="15"/>
      <c r="Q240" s="15"/>
      <c r="R240" s="16" t="str">
        <f>IF(COUNT(M240:Q240)&lt;5,"",(M240*Summary!$F$5+N240*Summary!$F$6+O240*Summary!$F$7+P240*Summary!$F$8+Q240*Summary!$F$9)/Summary!$F$10)</f>
        <v/>
      </c>
      <c r="S240" s="17" t="str">
        <f t="shared" si="1"/>
        <v/>
      </c>
      <c r="T240" s="17" t="str">
        <f>IF(S240="","",IF(S240&lt;=Summary!$B$5,"Featured candidate",""))</f>
        <v/>
      </c>
    </row>
    <row r="241" ht="14.25" customHeight="1">
      <c r="A241" s="17" t="str">
        <f t="shared" si="2"/>
        <v/>
      </c>
      <c r="B241" s="13"/>
      <c r="C241" s="13"/>
      <c r="D241" s="13"/>
      <c r="E241" s="13"/>
      <c r="F241" s="13"/>
      <c r="G241" s="13"/>
      <c r="H241" s="13"/>
      <c r="I241" s="13"/>
      <c r="J241" s="13"/>
      <c r="K241" s="13"/>
      <c r="L241" s="13"/>
      <c r="M241" s="15"/>
      <c r="N241" s="15"/>
      <c r="O241" s="15"/>
      <c r="P241" s="15"/>
      <c r="Q241" s="15"/>
      <c r="R241" s="16" t="str">
        <f>IF(COUNT(M241:Q241)&lt;5,"",(M241*Summary!$F$5+N241*Summary!$F$6+O241*Summary!$F$7+P241*Summary!$F$8+Q241*Summary!$F$9)/Summary!$F$10)</f>
        <v/>
      </c>
      <c r="S241" s="17" t="str">
        <f t="shared" si="1"/>
        <v/>
      </c>
      <c r="T241" s="17" t="str">
        <f>IF(S241="","",IF(S241&lt;=Summary!$B$5,"Featured candidate",""))</f>
        <v/>
      </c>
    </row>
    <row r="242" ht="14.25" customHeight="1">
      <c r="A242" s="17" t="str">
        <f t="shared" si="2"/>
        <v/>
      </c>
      <c r="B242" s="13"/>
      <c r="C242" s="13"/>
      <c r="D242" s="13"/>
      <c r="E242" s="13"/>
      <c r="F242" s="13"/>
      <c r="G242" s="13"/>
      <c r="H242" s="13"/>
      <c r="I242" s="13"/>
      <c r="J242" s="13"/>
      <c r="K242" s="13"/>
      <c r="L242" s="13"/>
      <c r="M242" s="15"/>
      <c r="N242" s="15"/>
      <c r="O242" s="15"/>
      <c r="P242" s="15"/>
      <c r="Q242" s="15"/>
      <c r="R242" s="16" t="str">
        <f>IF(COUNT(M242:Q242)&lt;5,"",(M242*Summary!$F$5+N242*Summary!$F$6+O242*Summary!$F$7+P242*Summary!$F$8+Q242*Summary!$F$9)/Summary!$F$10)</f>
        <v/>
      </c>
      <c r="S242" s="17" t="str">
        <f t="shared" si="1"/>
        <v/>
      </c>
      <c r="T242" s="17" t="str">
        <f>IF(S242="","",IF(S242&lt;=Summary!$B$5,"Featured candidate",""))</f>
        <v/>
      </c>
    </row>
    <row r="243" ht="14.25" customHeight="1">
      <c r="A243" s="17" t="str">
        <f t="shared" si="2"/>
        <v/>
      </c>
      <c r="B243" s="13"/>
      <c r="C243" s="13"/>
      <c r="D243" s="13"/>
      <c r="E243" s="13"/>
      <c r="F243" s="13"/>
      <c r="G243" s="13"/>
      <c r="H243" s="13"/>
      <c r="I243" s="13"/>
      <c r="J243" s="13"/>
      <c r="K243" s="13"/>
      <c r="L243" s="13"/>
      <c r="M243" s="15"/>
      <c r="N243" s="15"/>
      <c r="O243" s="15"/>
      <c r="P243" s="15"/>
      <c r="Q243" s="15"/>
      <c r="R243" s="16" t="str">
        <f>IF(COUNT(M243:Q243)&lt;5,"",(M243*Summary!$F$5+N243*Summary!$F$6+O243*Summary!$F$7+P243*Summary!$F$8+Q243*Summary!$F$9)/Summary!$F$10)</f>
        <v/>
      </c>
      <c r="S243" s="17" t="str">
        <f t="shared" si="1"/>
        <v/>
      </c>
      <c r="T243" s="17" t="str">
        <f>IF(S243="","",IF(S243&lt;=Summary!$B$5,"Featured candidate",""))</f>
        <v/>
      </c>
    </row>
    <row r="244" ht="14.25" customHeight="1">
      <c r="A244" s="17" t="str">
        <f t="shared" si="2"/>
        <v/>
      </c>
      <c r="B244" s="13"/>
      <c r="C244" s="13"/>
      <c r="D244" s="13"/>
      <c r="E244" s="13"/>
      <c r="F244" s="13"/>
      <c r="G244" s="13"/>
      <c r="H244" s="13"/>
      <c r="I244" s="13"/>
      <c r="J244" s="13"/>
      <c r="K244" s="13"/>
      <c r="L244" s="13"/>
      <c r="M244" s="15"/>
      <c r="N244" s="15"/>
      <c r="O244" s="15"/>
      <c r="P244" s="15"/>
      <c r="Q244" s="15"/>
      <c r="R244" s="16" t="str">
        <f>IF(COUNT(M244:Q244)&lt;5,"",(M244*Summary!$F$5+N244*Summary!$F$6+O244*Summary!$F$7+P244*Summary!$F$8+Q244*Summary!$F$9)/Summary!$F$10)</f>
        <v/>
      </c>
      <c r="S244" s="17" t="str">
        <f t="shared" si="1"/>
        <v/>
      </c>
      <c r="T244" s="17" t="str">
        <f>IF(S244="","",IF(S244&lt;=Summary!$B$5,"Featured candidate",""))</f>
        <v/>
      </c>
    </row>
    <row r="245" ht="14.25" customHeight="1">
      <c r="A245" s="17" t="str">
        <f t="shared" si="2"/>
        <v/>
      </c>
      <c r="B245" s="13"/>
      <c r="C245" s="13"/>
      <c r="D245" s="13"/>
      <c r="E245" s="13"/>
      <c r="F245" s="13"/>
      <c r="G245" s="13"/>
      <c r="H245" s="13"/>
      <c r="I245" s="13"/>
      <c r="J245" s="13"/>
      <c r="K245" s="13"/>
      <c r="L245" s="13"/>
      <c r="M245" s="15"/>
      <c r="N245" s="15"/>
      <c r="O245" s="15"/>
      <c r="P245" s="15"/>
      <c r="Q245" s="15"/>
      <c r="R245" s="16" t="str">
        <f>IF(COUNT(M245:Q245)&lt;5,"",(M245*Summary!$F$5+N245*Summary!$F$6+O245*Summary!$F$7+P245*Summary!$F$8+Q245*Summary!$F$9)/Summary!$F$10)</f>
        <v/>
      </c>
      <c r="S245" s="17" t="str">
        <f t="shared" si="1"/>
        <v/>
      </c>
      <c r="T245" s="17" t="str">
        <f>IF(S245="","",IF(S245&lt;=Summary!$B$5,"Featured candidate",""))</f>
        <v/>
      </c>
    </row>
    <row r="246" ht="14.25" customHeight="1">
      <c r="A246" s="17" t="str">
        <f t="shared" si="2"/>
        <v/>
      </c>
      <c r="B246" s="13"/>
      <c r="C246" s="13"/>
      <c r="D246" s="13"/>
      <c r="E246" s="13"/>
      <c r="F246" s="13"/>
      <c r="G246" s="13"/>
      <c r="H246" s="13"/>
      <c r="I246" s="13"/>
      <c r="J246" s="13"/>
      <c r="K246" s="13"/>
      <c r="L246" s="13"/>
      <c r="M246" s="15"/>
      <c r="N246" s="15"/>
      <c r="O246" s="15"/>
      <c r="P246" s="15"/>
      <c r="Q246" s="15"/>
      <c r="R246" s="16" t="str">
        <f>IF(COUNT(M246:Q246)&lt;5,"",(M246*Summary!$F$5+N246*Summary!$F$6+O246*Summary!$F$7+P246*Summary!$F$8+Q246*Summary!$F$9)/Summary!$F$10)</f>
        <v/>
      </c>
      <c r="S246" s="17" t="str">
        <f t="shared" si="1"/>
        <v/>
      </c>
      <c r="T246" s="17" t="str">
        <f>IF(S246="","",IF(S246&lt;=Summary!$B$5,"Featured candidate",""))</f>
        <v/>
      </c>
    </row>
    <row r="247" ht="14.25" customHeight="1">
      <c r="A247" s="17" t="str">
        <f t="shared" si="2"/>
        <v/>
      </c>
      <c r="B247" s="13"/>
      <c r="C247" s="13"/>
      <c r="D247" s="13"/>
      <c r="E247" s="13"/>
      <c r="F247" s="13"/>
      <c r="G247" s="13"/>
      <c r="H247" s="13"/>
      <c r="I247" s="13"/>
      <c r="J247" s="13"/>
      <c r="K247" s="13"/>
      <c r="L247" s="13"/>
      <c r="M247" s="15"/>
      <c r="N247" s="15"/>
      <c r="O247" s="15"/>
      <c r="P247" s="15"/>
      <c r="Q247" s="15"/>
      <c r="R247" s="16" t="str">
        <f>IF(COUNT(M247:Q247)&lt;5,"",(M247*Summary!$F$5+N247*Summary!$F$6+O247*Summary!$F$7+P247*Summary!$F$8+Q247*Summary!$F$9)/Summary!$F$10)</f>
        <v/>
      </c>
      <c r="S247" s="17" t="str">
        <f t="shared" si="1"/>
        <v/>
      </c>
      <c r="T247" s="17" t="str">
        <f>IF(S247="","",IF(S247&lt;=Summary!$B$5,"Featured candidate",""))</f>
        <v/>
      </c>
    </row>
    <row r="248" ht="14.25" customHeight="1">
      <c r="A248" s="17" t="str">
        <f t="shared" si="2"/>
        <v/>
      </c>
      <c r="B248" s="13"/>
      <c r="C248" s="13"/>
      <c r="D248" s="13"/>
      <c r="E248" s="13"/>
      <c r="F248" s="13"/>
      <c r="G248" s="13"/>
      <c r="H248" s="13"/>
      <c r="I248" s="13"/>
      <c r="J248" s="13"/>
      <c r="K248" s="13"/>
      <c r="L248" s="13"/>
      <c r="M248" s="15"/>
      <c r="N248" s="15"/>
      <c r="O248" s="15"/>
      <c r="P248" s="15"/>
      <c r="Q248" s="15"/>
      <c r="R248" s="16" t="str">
        <f>IF(COUNT(M248:Q248)&lt;5,"",(M248*Summary!$F$5+N248*Summary!$F$6+O248*Summary!$F$7+P248*Summary!$F$8+Q248*Summary!$F$9)/Summary!$F$10)</f>
        <v/>
      </c>
      <c r="S248" s="17" t="str">
        <f t="shared" si="1"/>
        <v/>
      </c>
      <c r="T248" s="17" t="str">
        <f>IF(S248="","",IF(S248&lt;=Summary!$B$5,"Featured candidate",""))</f>
        <v/>
      </c>
    </row>
    <row r="249" ht="14.25" customHeight="1">
      <c r="A249" s="17" t="str">
        <f t="shared" si="2"/>
        <v/>
      </c>
      <c r="B249" s="13"/>
      <c r="C249" s="13"/>
      <c r="D249" s="13"/>
      <c r="E249" s="13"/>
      <c r="F249" s="13"/>
      <c r="G249" s="13"/>
      <c r="H249" s="13"/>
      <c r="I249" s="13"/>
      <c r="J249" s="13"/>
      <c r="K249" s="13"/>
      <c r="L249" s="13"/>
      <c r="M249" s="15"/>
      <c r="N249" s="15"/>
      <c r="O249" s="15"/>
      <c r="P249" s="15"/>
      <c r="Q249" s="15"/>
      <c r="R249" s="16" t="str">
        <f>IF(COUNT(M249:Q249)&lt;5,"",(M249*Summary!$F$5+N249*Summary!$F$6+O249*Summary!$F$7+P249*Summary!$F$8+Q249*Summary!$F$9)/Summary!$F$10)</f>
        <v/>
      </c>
      <c r="S249" s="17" t="str">
        <f t="shared" si="1"/>
        <v/>
      </c>
      <c r="T249" s="17" t="str">
        <f>IF(S249="","",IF(S249&lt;=Summary!$B$5,"Featured candidate",""))</f>
        <v/>
      </c>
    </row>
    <row r="250" ht="14.25" customHeight="1">
      <c r="A250" s="17" t="str">
        <f t="shared" si="2"/>
        <v/>
      </c>
      <c r="B250" s="13"/>
      <c r="C250" s="13"/>
      <c r="D250" s="13"/>
      <c r="E250" s="13"/>
      <c r="F250" s="13"/>
      <c r="G250" s="13"/>
      <c r="H250" s="13"/>
      <c r="I250" s="13"/>
      <c r="J250" s="13"/>
      <c r="K250" s="13"/>
      <c r="L250" s="13"/>
      <c r="M250" s="15"/>
      <c r="N250" s="15"/>
      <c r="O250" s="15"/>
      <c r="P250" s="15"/>
      <c r="Q250" s="15"/>
      <c r="R250" s="16" t="str">
        <f>IF(COUNT(M250:Q250)&lt;5,"",(M250*Summary!$F$5+N250*Summary!$F$6+O250*Summary!$F$7+P250*Summary!$F$8+Q250*Summary!$F$9)/Summary!$F$10)</f>
        <v/>
      </c>
      <c r="S250" s="17" t="str">
        <f t="shared" si="1"/>
        <v/>
      </c>
      <c r="T250" s="17" t="str">
        <f>IF(S250="","",IF(S250&lt;=Summary!$B$5,"Featured candidate",""))</f>
        <v/>
      </c>
    </row>
    <row r="251" ht="14.25" customHeight="1">
      <c r="A251" s="17" t="str">
        <f t="shared" si="2"/>
        <v/>
      </c>
      <c r="B251" s="13"/>
      <c r="C251" s="13"/>
      <c r="D251" s="13"/>
      <c r="E251" s="13"/>
      <c r="F251" s="13"/>
      <c r="G251" s="13"/>
      <c r="H251" s="13"/>
      <c r="I251" s="13"/>
      <c r="J251" s="13"/>
      <c r="K251" s="13"/>
      <c r="L251" s="13"/>
      <c r="M251" s="15"/>
      <c r="N251" s="15"/>
      <c r="O251" s="15"/>
      <c r="P251" s="15"/>
      <c r="Q251" s="15"/>
      <c r="R251" s="16" t="str">
        <f>IF(COUNT(M251:Q251)&lt;5,"",(M251*Summary!$F$5+N251*Summary!$F$6+O251*Summary!$F$7+P251*Summary!$F$8+Q251*Summary!$F$9)/Summary!$F$10)</f>
        <v/>
      </c>
      <c r="S251" s="17" t="str">
        <f t="shared" si="1"/>
        <v/>
      </c>
      <c r="T251" s="17" t="str">
        <f>IF(S251="","",IF(S251&lt;=Summary!$B$5,"Featured candidate",""))</f>
        <v/>
      </c>
    </row>
    <row r="252" ht="14.25" customHeight="1">
      <c r="A252" s="17" t="str">
        <f t="shared" si="2"/>
        <v/>
      </c>
      <c r="B252" s="13"/>
      <c r="C252" s="13"/>
      <c r="D252" s="13"/>
      <c r="E252" s="13"/>
      <c r="F252" s="13"/>
      <c r="G252" s="13"/>
      <c r="H252" s="13"/>
      <c r="I252" s="13"/>
      <c r="J252" s="13"/>
      <c r="K252" s="13"/>
      <c r="L252" s="13"/>
      <c r="M252" s="15"/>
      <c r="N252" s="15"/>
      <c r="O252" s="15"/>
      <c r="P252" s="15"/>
      <c r="Q252" s="15"/>
      <c r="R252" s="16" t="str">
        <f>IF(COUNT(M252:Q252)&lt;5,"",(M252*Summary!$F$5+N252*Summary!$F$6+O252*Summary!$F$7+P252*Summary!$F$8+Q252*Summary!$F$9)/Summary!$F$10)</f>
        <v/>
      </c>
      <c r="S252" s="17" t="str">
        <f t="shared" si="1"/>
        <v/>
      </c>
      <c r="T252" s="17" t="str">
        <f>IF(S252="","",IF(S252&lt;=Summary!$B$5,"Featured candidate",""))</f>
        <v/>
      </c>
    </row>
    <row r="253" ht="14.25" customHeight="1">
      <c r="A253" s="17" t="str">
        <f t="shared" si="2"/>
        <v/>
      </c>
      <c r="B253" s="13"/>
      <c r="C253" s="13"/>
      <c r="D253" s="13"/>
      <c r="E253" s="13"/>
      <c r="F253" s="13"/>
      <c r="G253" s="13"/>
      <c r="H253" s="13"/>
      <c r="I253" s="13"/>
      <c r="J253" s="13"/>
      <c r="K253" s="13"/>
      <c r="L253" s="13"/>
      <c r="M253" s="15"/>
      <c r="N253" s="15"/>
      <c r="O253" s="15"/>
      <c r="P253" s="15"/>
      <c r="Q253" s="15"/>
      <c r="R253" s="16" t="str">
        <f>IF(COUNT(M253:Q253)&lt;5,"",(M253*Summary!$F$5+N253*Summary!$F$6+O253*Summary!$F$7+P253*Summary!$F$8+Q253*Summary!$F$9)/Summary!$F$10)</f>
        <v/>
      </c>
      <c r="S253" s="17" t="str">
        <f t="shared" si="1"/>
        <v/>
      </c>
      <c r="T253" s="17" t="str">
        <f>IF(S253="","",IF(S253&lt;=Summary!$B$5,"Featured candidate",""))</f>
        <v/>
      </c>
    </row>
    <row r="254" ht="14.25" customHeight="1">
      <c r="A254" s="17" t="str">
        <f t="shared" si="2"/>
        <v/>
      </c>
      <c r="B254" s="13"/>
      <c r="C254" s="13"/>
      <c r="D254" s="13"/>
      <c r="E254" s="13"/>
      <c r="F254" s="13"/>
      <c r="G254" s="13"/>
      <c r="H254" s="13"/>
      <c r="I254" s="13"/>
      <c r="J254" s="13"/>
      <c r="K254" s="13"/>
      <c r="L254" s="13"/>
      <c r="M254" s="15"/>
      <c r="N254" s="15"/>
      <c r="O254" s="15"/>
      <c r="P254" s="15"/>
      <c r="Q254" s="15"/>
      <c r="R254" s="16" t="str">
        <f>IF(COUNT(M254:Q254)&lt;5,"",(M254*Summary!$F$5+N254*Summary!$F$6+O254*Summary!$F$7+P254*Summary!$F$8+Q254*Summary!$F$9)/Summary!$F$10)</f>
        <v/>
      </c>
      <c r="S254" s="17" t="str">
        <f t="shared" si="1"/>
        <v/>
      </c>
      <c r="T254" s="17" t="str">
        <f>IF(S254="","",IF(S254&lt;=Summary!$B$5,"Featured candidate",""))</f>
        <v/>
      </c>
    </row>
    <row r="255" ht="14.25" customHeight="1">
      <c r="A255" s="17" t="str">
        <f t="shared" si="2"/>
        <v/>
      </c>
      <c r="B255" s="13"/>
      <c r="C255" s="13"/>
      <c r="D255" s="13"/>
      <c r="E255" s="13"/>
      <c r="F255" s="13"/>
      <c r="G255" s="13"/>
      <c r="H255" s="13"/>
      <c r="I255" s="13"/>
      <c r="J255" s="13"/>
      <c r="K255" s="13"/>
      <c r="L255" s="13"/>
      <c r="M255" s="15"/>
      <c r="N255" s="15"/>
      <c r="O255" s="15"/>
      <c r="P255" s="15"/>
      <c r="Q255" s="15"/>
      <c r="R255" s="16" t="str">
        <f>IF(COUNT(M255:Q255)&lt;5,"",(M255*Summary!$F$5+N255*Summary!$F$6+O255*Summary!$F$7+P255*Summary!$F$8+Q255*Summary!$F$9)/Summary!$F$10)</f>
        <v/>
      </c>
      <c r="S255" s="17" t="str">
        <f t="shared" si="1"/>
        <v/>
      </c>
      <c r="T255" s="17" t="str">
        <f>IF(S255="","",IF(S255&lt;=Summary!$B$5,"Featured candidate",""))</f>
        <v/>
      </c>
    </row>
    <row r="256" ht="14.25" customHeight="1">
      <c r="A256" s="17" t="str">
        <f t="shared" si="2"/>
        <v/>
      </c>
      <c r="B256" s="13"/>
      <c r="C256" s="13"/>
      <c r="D256" s="13"/>
      <c r="E256" s="13"/>
      <c r="F256" s="13"/>
      <c r="G256" s="13"/>
      <c r="H256" s="13"/>
      <c r="I256" s="13"/>
      <c r="J256" s="13"/>
      <c r="K256" s="13"/>
      <c r="L256" s="13"/>
      <c r="M256" s="15"/>
      <c r="N256" s="15"/>
      <c r="O256" s="15"/>
      <c r="P256" s="15"/>
      <c r="Q256" s="15"/>
      <c r="R256" s="16" t="str">
        <f>IF(COUNT(M256:Q256)&lt;5,"",(M256*Summary!$F$5+N256*Summary!$F$6+O256*Summary!$F$7+P256*Summary!$F$8+Q256*Summary!$F$9)/Summary!$F$10)</f>
        <v/>
      </c>
      <c r="S256" s="17" t="str">
        <f t="shared" si="1"/>
        <v/>
      </c>
      <c r="T256" s="17" t="str">
        <f>IF(S256="","",IF(S256&lt;=Summary!$B$5,"Featured candidate",""))</f>
        <v/>
      </c>
    </row>
    <row r="257" ht="14.25" customHeight="1">
      <c r="A257" s="17" t="str">
        <f t="shared" si="2"/>
        <v/>
      </c>
      <c r="B257" s="13"/>
      <c r="C257" s="13"/>
      <c r="D257" s="13"/>
      <c r="E257" s="13"/>
      <c r="F257" s="13"/>
      <c r="G257" s="13"/>
      <c r="H257" s="13"/>
      <c r="I257" s="13"/>
      <c r="J257" s="13"/>
      <c r="K257" s="13"/>
      <c r="L257" s="13"/>
      <c r="M257" s="15"/>
      <c r="N257" s="15"/>
      <c r="O257" s="15"/>
      <c r="P257" s="15"/>
      <c r="Q257" s="15"/>
      <c r="R257" s="16" t="str">
        <f>IF(COUNT(M257:Q257)&lt;5,"",(M257*Summary!$F$5+N257*Summary!$F$6+O257*Summary!$F$7+P257*Summary!$F$8+Q257*Summary!$F$9)/Summary!$F$10)</f>
        <v/>
      </c>
      <c r="S257" s="17" t="str">
        <f t="shared" si="1"/>
        <v/>
      </c>
      <c r="T257" s="17" t="str">
        <f>IF(S257="","",IF(S257&lt;=Summary!$B$5,"Featured candidate",""))</f>
        <v/>
      </c>
    </row>
    <row r="258" ht="14.25" customHeight="1">
      <c r="A258" s="17" t="str">
        <f t="shared" si="2"/>
        <v/>
      </c>
      <c r="B258" s="13"/>
      <c r="C258" s="13"/>
      <c r="D258" s="13"/>
      <c r="E258" s="13"/>
      <c r="F258" s="13"/>
      <c r="G258" s="13"/>
      <c r="H258" s="13"/>
      <c r="I258" s="13"/>
      <c r="J258" s="13"/>
      <c r="K258" s="13"/>
      <c r="L258" s="13"/>
      <c r="M258" s="15"/>
      <c r="N258" s="15"/>
      <c r="O258" s="15"/>
      <c r="P258" s="15"/>
      <c r="Q258" s="15"/>
      <c r="R258" s="16" t="str">
        <f>IF(COUNT(M258:Q258)&lt;5,"",(M258*Summary!$F$5+N258*Summary!$F$6+O258*Summary!$F$7+P258*Summary!$F$8+Q258*Summary!$F$9)/Summary!$F$10)</f>
        <v/>
      </c>
      <c r="S258" s="17" t="str">
        <f t="shared" si="1"/>
        <v/>
      </c>
      <c r="T258" s="17" t="str">
        <f>IF(S258="","",IF(S258&lt;=Summary!$B$5,"Featured candidate",""))</f>
        <v/>
      </c>
    </row>
    <row r="259" ht="14.25" customHeight="1">
      <c r="A259" s="17" t="str">
        <f t="shared" si="2"/>
        <v/>
      </c>
      <c r="B259" s="13"/>
      <c r="C259" s="13"/>
      <c r="D259" s="13"/>
      <c r="E259" s="13"/>
      <c r="F259" s="13"/>
      <c r="G259" s="13"/>
      <c r="H259" s="13"/>
      <c r="I259" s="13"/>
      <c r="J259" s="13"/>
      <c r="K259" s="13"/>
      <c r="L259" s="13"/>
      <c r="M259" s="15"/>
      <c r="N259" s="15"/>
      <c r="O259" s="15"/>
      <c r="P259" s="15"/>
      <c r="Q259" s="15"/>
      <c r="R259" s="16" t="str">
        <f>IF(COUNT(M259:Q259)&lt;5,"",(M259*Summary!$F$5+N259*Summary!$F$6+O259*Summary!$F$7+P259*Summary!$F$8+Q259*Summary!$F$9)/Summary!$F$10)</f>
        <v/>
      </c>
      <c r="S259" s="17" t="str">
        <f t="shared" si="1"/>
        <v/>
      </c>
      <c r="T259" s="17" t="str">
        <f>IF(S259="","",IF(S259&lt;=Summary!$B$5,"Featured candidate",""))</f>
        <v/>
      </c>
    </row>
    <row r="260" ht="14.25" customHeight="1">
      <c r="A260" s="17" t="str">
        <f t="shared" si="2"/>
        <v/>
      </c>
      <c r="B260" s="13"/>
      <c r="C260" s="13"/>
      <c r="D260" s="13"/>
      <c r="E260" s="13"/>
      <c r="F260" s="13"/>
      <c r="G260" s="13"/>
      <c r="H260" s="13"/>
      <c r="I260" s="13"/>
      <c r="J260" s="13"/>
      <c r="K260" s="13"/>
      <c r="L260" s="13"/>
      <c r="M260" s="15"/>
      <c r="N260" s="15"/>
      <c r="O260" s="15"/>
      <c r="P260" s="15"/>
      <c r="Q260" s="15"/>
      <c r="R260" s="16" t="str">
        <f>IF(COUNT(M260:Q260)&lt;5,"",(M260*Summary!$F$5+N260*Summary!$F$6+O260*Summary!$F$7+P260*Summary!$F$8+Q260*Summary!$F$9)/Summary!$F$10)</f>
        <v/>
      </c>
      <c r="S260" s="17" t="str">
        <f t="shared" si="1"/>
        <v/>
      </c>
      <c r="T260" s="17" t="str">
        <f>IF(S260="","",IF(S260&lt;=Summary!$B$5,"Featured candidate",""))</f>
        <v/>
      </c>
    </row>
    <row r="261" ht="14.25" customHeight="1">
      <c r="A261" s="17" t="str">
        <f t="shared" si="2"/>
        <v/>
      </c>
      <c r="B261" s="13"/>
      <c r="C261" s="13"/>
      <c r="D261" s="13"/>
      <c r="E261" s="13"/>
      <c r="F261" s="13"/>
      <c r="G261" s="13"/>
      <c r="H261" s="13"/>
      <c r="I261" s="13"/>
      <c r="J261" s="13"/>
      <c r="K261" s="13"/>
      <c r="L261" s="13"/>
      <c r="M261" s="15"/>
      <c r="N261" s="15"/>
      <c r="O261" s="15"/>
      <c r="P261" s="15"/>
      <c r="Q261" s="15"/>
      <c r="R261" s="16" t="str">
        <f>IF(COUNT(M261:Q261)&lt;5,"",(M261*Summary!$F$5+N261*Summary!$F$6+O261*Summary!$F$7+P261*Summary!$F$8+Q261*Summary!$F$9)/Summary!$F$10)</f>
        <v/>
      </c>
      <c r="S261" s="17" t="str">
        <f t="shared" si="1"/>
        <v/>
      </c>
      <c r="T261" s="17" t="str">
        <f>IF(S261="","",IF(S261&lt;=Summary!$B$5,"Featured candidate",""))</f>
        <v/>
      </c>
    </row>
    <row r="262" ht="14.25" customHeight="1">
      <c r="A262" s="17" t="str">
        <f t="shared" si="2"/>
        <v/>
      </c>
      <c r="B262" s="13"/>
      <c r="C262" s="13"/>
      <c r="D262" s="13"/>
      <c r="E262" s="13"/>
      <c r="F262" s="13"/>
      <c r="G262" s="13"/>
      <c r="H262" s="13"/>
      <c r="I262" s="13"/>
      <c r="J262" s="13"/>
      <c r="K262" s="13"/>
      <c r="L262" s="13"/>
      <c r="M262" s="15"/>
      <c r="N262" s="15"/>
      <c r="O262" s="15"/>
      <c r="P262" s="15"/>
      <c r="Q262" s="15"/>
      <c r="R262" s="16" t="str">
        <f>IF(COUNT(M262:Q262)&lt;5,"",(M262*Summary!$F$5+N262*Summary!$F$6+O262*Summary!$F$7+P262*Summary!$F$8+Q262*Summary!$F$9)/Summary!$F$10)</f>
        <v/>
      </c>
      <c r="S262" s="17" t="str">
        <f t="shared" si="1"/>
        <v/>
      </c>
      <c r="T262" s="17" t="str">
        <f>IF(S262="","",IF(S262&lt;=Summary!$B$5,"Featured candidate",""))</f>
        <v/>
      </c>
    </row>
    <row r="263" ht="14.25" customHeight="1">
      <c r="A263" s="17" t="str">
        <f t="shared" si="2"/>
        <v/>
      </c>
      <c r="B263" s="13"/>
      <c r="C263" s="13"/>
      <c r="D263" s="13"/>
      <c r="E263" s="13"/>
      <c r="F263" s="13"/>
      <c r="G263" s="13"/>
      <c r="H263" s="13"/>
      <c r="I263" s="13"/>
      <c r="J263" s="13"/>
      <c r="K263" s="13"/>
      <c r="L263" s="13"/>
      <c r="M263" s="15"/>
      <c r="N263" s="15"/>
      <c r="O263" s="15"/>
      <c r="P263" s="15"/>
      <c r="Q263" s="15"/>
      <c r="R263" s="16" t="str">
        <f>IF(COUNT(M263:Q263)&lt;5,"",(M263*Summary!$F$5+N263*Summary!$F$6+O263*Summary!$F$7+P263*Summary!$F$8+Q263*Summary!$F$9)/Summary!$F$10)</f>
        <v/>
      </c>
      <c r="S263" s="17" t="str">
        <f t="shared" si="1"/>
        <v/>
      </c>
      <c r="T263" s="17" t="str">
        <f>IF(S263="","",IF(S263&lt;=Summary!$B$5,"Featured candidate",""))</f>
        <v/>
      </c>
    </row>
    <row r="264" ht="14.25" customHeight="1">
      <c r="A264" s="17" t="str">
        <f t="shared" si="2"/>
        <v/>
      </c>
      <c r="B264" s="13"/>
      <c r="C264" s="13"/>
      <c r="D264" s="13"/>
      <c r="E264" s="13"/>
      <c r="F264" s="13"/>
      <c r="G264" s="13"/>
      <c r="H264" s="13"/>
      <c r="I264" s="13"/>
      <c r="J264" s="13"/>
      <c r="K264" s="13"/>
      <c r="L264" s="13"/>
      <c r="M264" s="15"/>
      <c r="N264" s="15"/>
      <c r="O264" s="15"/>
      <c r="P264" s="15"/>
      <c r="Q264" s="15"/>
      <c r="R264" s="16" t="str">
        <f>IF(COUNT(M264:Q264)&lt;5,"",(M264*Summary!$F$5+N264*Summary!$F$6+O264*Summary!$F$7+P264*Summary!$F$8+Q264*Summary!$F$9)/Summary!$F$10)</f>
        <v/>
      </c>
      <c r="S264" s="17" t="str">
        <f t="shared" si="1"/>
        <v/>
      </c>
      <c r="T264" s="17" t="str">
        <f>IF(S264="","",IF(S264&lt;=Summary!$B$5,"Featured candidate",""))</f>
        <v/>
      </c>
    </row>
    <row r="265" ht="14.25" customHeight="1">
      <c r="A265" s="17" t="str">
        <f t="shared" si="2"/>
        <v/>
      </c>
      <c r="B265" s="13"/>
      <c r="C265" s="13"/>
      <c r="D265" s="13"/>
      <c r="E265" s="13"/>
      <c r="F265" s="13"/>
      <c r="G265" s="13"/>
      <c r="H265" s="13"/>
      <c r="I265" s="13"/>
      <c r="J265" s="13"/>
      <c r="K265" s="13"/>
      <c r="L265" s="13"/>
      <c r="M265" s="15"/>
      <c r="N265" s="15"/>
      <c r="O265" s="15"/>
      <c r="P265" s="15"/>
      <c r="Q265" s="15"/>
      <c r="R265" s="16" t="str">
        <f>IF(COUNT(M265:Q265)&lt;5,"",(M265*Summary!$F$5+N265*Summary!$F$6+O265*Summary!$F$7+P265*Summary!$F$8+Q265*Summary!$F$9)/Summary!$F$10)</f>
        <v/>
      </c>
      <c r="S265" s="17" t="str">
        <f t="shared" si="1"/>
        <v/>
      </c>
      <c r="T265" s="17" t="str">
        <f>IF(S265="","",IF(S265&lt;=Summary!$B$5,"Featured candidate",""))</f>
        <v/>
      </c>
    </row>
    <row r="266" ht="14.25" customHeight="1">
      <c r="A266" s="17" t="str">
        <f t="shared" si="2"/>
        <v/>
      </c>
      <c r="B266" s="13"/>
      <c r="C266" s="13"/>
      <c r="D266" s="13"/>
      <c r="E266" s="13"/>
      <c r="F266" s="13"/>
      <c r="G266" s="13"/>
      <c r="H266" s="13"/>
      <c r="I266" s="13"/>
      <c r="J266" s="13"/>
      <c r="K266" s="13"/>
      <c r="L266" s="13"/>
      <c r="M266" s="15"/>
      <c r="N266" s="15"/>
      <c r="O266" s="15"/>
      <c r="P266" s="15"/>
      <c r="Q266" s="15"/>
      <c r="R266" s="16" t="str">
        <f>IF(COUNT(M266:Q266)&lt;5,"",(M266*Summary!$F$5+N266*Summary!$F$6+O266*Summary!$F$7+P266*Summary!$F$8+Q266*Summary!$F$9)/Summary!$F$10)</f>
        <v/>
      </c>
      <c r="S266" s="17" t="str">
        <f t="shared" si="1"/>
        <v/>
      </c>
      <c r="T266" s="17" t="str">
        <f>IF(S266="","",IF(S266&lt;=Summary!$B$5,"Featured candidate",""))</f>
        <v/>
      </c>
    </row>
    <row r="267" ht="14.25" customHeight="1">
      <c r="A267" s="17" t="str">
        <f t="shared" si="2"/>
        <v/>
      </c>
      <c r="B267" s="13"/>
      <c r="C267" s="13"/>
      <c r="D267" s="13"/>
      <c r="E267" s="13"/>
      <c r="F267" s="13"/>
      <c r="G267" s="13"/>
      <c r="H267" s="13"/>
      <c r="I267" s="13"/>
      <c r="J267" s="13"/>
      <c r="K267" s="13"/>
      <c r="L267" s="13"/>
      <c r="M267" s="15"/>
      <c r="N267" s="15"/>
      <c r="O267" s="15"/>
      <c r="P267" s="15"/>
      <c r="Q267" s="15"/>
      <c r="R267" s="16" t="str">
        <f>IF(COUNT(M267:Q267)&lt;5,"",(M267*Summary!$F$5+N267*Summary!$F$6+O267*Summary!$F$7+P267*Summary!$F$8+Q267*Summary!$F$9)/Summary!$F$10)</f>
        <v/>
      </c>
      <c r="S267" s="17" t="str">
        <f t="shared" si="1"/>
        <v/>
      </c>
      <c r="T267" s="17" t="str">
        <f>IF(S267="","",IF(S267&lt;=Summary!$B$5,"Featured candidate",""))</f>
        <v/>
      </c>
    </row>
    <row r="268" ht="14.25" customHeight="1">
      <c r="A268" s="17" t="str">
        <f t="shared" si="2"/>
        <v/>
      </c>
      <c r="B268" s="13"/>
      <c r="C268" s="13"/>
      <c r="D268" s="13"/>
      <c r="E268" s="13"/>
      <c r="F268" s="13"/>
      <c r="G268" s="13"/>
      <c r="H268" s="13"/>
      <c r="I268" s="13"/>
      <c r="J268" s="13"/>
      <c r="K268" s="13"/>
      <c r="L268" s="13"/>
      <c r="M268" s="15"/>
      <c r="N268" s="15"/>
      <c r="O268" s="15"/>
      <c r="P268" s="15"/>
      <c r="Q268" s="15"/>
      <c r="R268" s="16" t="str">
        <f>IF(COUNT(M268:Q268)&lt;5,"",(M268*Summary!$F$5+N268*Summary!$F$6+O268*Summary!$F$7+P268*Summary!$F$8+Q268*Summary!$F$9)/Summary!$F$10)</f>
        <v/>
      </c>
      <c r="S268" s="17" t="str">
        <f t="shared" si="1"/>
        <v/>
      </c>
      <c r="T268" s="17" t="str">
        <f>IF(S268="","",IF(S268&lt;=Summary!$B$5,"Featured candidate",""))</f>
        <v/>
      </c>
    </row>
    <row r="269" ht="14.25" customHeight="1">
      <c r="A269" s="17" t="str">
        <f t="shared" si="2"/>
        <v/>
      </c>
      <c r="B269" s="13"/>
      <c r="C269" s="13"/>
      <c r="D269" s="13"/>
      <c r="E269" s="13"/>
      <c r="F269" s="13"/>
      <c r="G269" s="13"/>
      <c r="H269" s="13"/>
      <c r="I269" s="13"/>
      <c r="J269" s="13"/>
      <c r="K269" s="13"/>
      <c r="L269" s="13"/>
      <c r="M269" s="15"/>
      <c r="N269" s="15"/>
      <c r="O269" s="15"/>
      <c r="P269" s="15"/>
      <c r="Q269" s="15"/>
      <c r="R269" s="16" t="str">
        <f>IF(COUNT(M269:Q269)&lt;5,"",(M269*Summary!$F$5+N269*Summary!$F$6+O269*Summary!$F$7+P269*Summary!$F$8+Q269*Summary!$F$9)/Summary!$F$10)</f>
        <v/>
      </c>
      <c r="S269" s="17" t="str">
        <f t="shared" si="1"/>
        <v/>
      </c>
      <c r="T269" s="17" t="str">
        <f>IF(S269="","",IF(S269&lt;=Summary!$B$5,"Featured candidate",""))</f>
        <v/>
      </c>
    </row>
    <row r="270" ht="14.25" customHeight="1">
      <c r="A270" s="17" t="str">
        <f t="shared" si="2"/>
        <v/>
      </c>
      <c r="B270" s="13"/>
      <c r="C270" s="13"/>
      <c r="D270" s="13"/>
      <c r="E270" s="13"/>
      <c r="F270" s="13"/>
      <c r="G270" s="13"/>
      <c r="H270" s="13"/>
      <c r="I270" s="13"/>
      <c r="J270" s="13"/>
      <c r="K270" s="13"/>
      <c r="L270" s="13"/>
      <c r="M270" s="15"/>
      <c r="N270" s="15"/>
      <c r="O270" s="15"/>
      <c r="P270" s="15"/>
      <c r="Q270" s="15"/>
      <c r="R270" s="16" t="str">
        <f>IF(COUNT(M270:Q270)&lt;5,"",(M270*Summary!$F$5+N270*Summary!$F$6+O270*Summary!$F$7+P270*Summary!$F$8+Q270*Summary!$F$9)/Summary!$F$10)</f>
        <v/>
      </c>
      <c r="S270" s="17" t="str">
        <f t="shared" si="1"/>
        <v/>
      </c>
      <c r="T270" s="17" t="str">
        <f>IF(S270="","",IF(S270&lt;=Summary!$B$5,"Featured candidate",""))</f>
        <v/>
      </c>
    </row>
    <row r="271" ht="14.25" customHeight="1">
      <c r="A271" s="17" t="str">
        <f t="shared" si="2"/>
        <v/>
      </c>
      <c r="B271" s="13"/>
      <c r="C271" s="13"/>
      <c r="D271" s="13"/>
      <c r="E271" s="13"/>
      <c r="F271" s="13"/>
      <c r="G271" s="13"/>
      <c r="H271" s="13"/>
      <c r="I271" s="13"/>
      <c r="J271" s="13"/>
      <c r="K271" s="13"/>
      <c r="L271" s="13"/>
      <c r="M271" s="15"/>
      <c r="N271" s="15"/>
      <c r="O271" s="15"/>
      <c r="P271" s="15"/>
      <c r="Q271" s="15"/>
      <c r="R271" s="16" t="str">
        <f>IF(COUNT(M271:Q271)&lt;5,"",(M271*Summary!$F$5+N271*Summary!$F$6+O271*Summary!$F$7+P271*Summary!$F$8+Q271*Summary!$F$9)/Summary!$F$10)</f>
        <v/>
      </c>
      <c r="S271" s="17" t="str">
        <f t="shared" si="1"/>
        <v/>
      </c>
      <c r="T271" s="17" t="str">
        <f>IF(S271="","",IF(S271&lt;=Summary!$B$5,"Featured candidate",""))</f>
        <v/>
      </c>
    </row>
    <row r="272" ht="14.25" customHeight="1">
      <c r="A272" s="17" t="str">
        <f t="shared" si="2"/>
        <v/>
      </c>
      <c r="B272" s="13"/>
      <c r="C272" s="13"/>
      <c r="D272" s="13"/>
      <c r="E272" s="13"/>
      <c r="F272" s="13"/>
      <c r="G272" s="13"/>
      <c r="H272" s="13"/>
      <c r="I272" s="13"/>
      <c r="J272" s="13"/>
      <c r="K272" s="13"/>
      <c r="L272" s="13"/>
      <c r="M272" s="15"/>
      <c r="N272" s="15"/>
      <c r="O272" s="15"/>
      <c r="P272" s="15"/>
      <c r="Q272" s="15"/>
      <c r="R272" s="16" t="str">
        <f>IF(COUNT(M272:Q272)&lt;5,"",(M272*Summary!$F$5+N272*Summary!$F$6+O272*Summary!$F$7+P272*Summary!$F$8+Q272*Summary!$F$9)/Summary!$F$10)</f>
        <v/>
      </c>
      <c r="S272" s="17" t="str">
        <f t="shared" si="1"/>
        <v/>
      </c>
      <c r="T272" s="17" t="str">
        <f>IF(S272="","",IF(S272&lt;=Summary!$B$5,"Featured candidate",""))</f>
        <v/>
      </c>
    </row>
    <row r="273" ht="14.25" customHeight="1">
      <c r="A273" s="17" t="str">
        <f t="shared" si="2"/>
        <v/>
      </c>
      <c r="B273" s="13"/>
      <c r="C273" s="13"/>
      <c r="D273" s="13"/>
      <c r="E273" s="13"/>
      <c r="F273" s="13"/>
      <c r="G273" s="13"/>
      <c r="H273" s="13"/>
      <c r="I273" s="13"/>
      <c r="J273" s="13"/>
      <c r="K273" s="13"/>
      <c r="L273" s="13"/>
      <c r="M273" s="15"/>
      <c r="N273" s="15"/>
      <c r="O273" s="15"/>
      <c r="P273" s="15"/>
      <c r="Q273" s="15"/>
      <c r="R273" s="16" t="str">
        <f>IF(COUNT(M273:Q273)&lt;5,"",(M273*Summary!$F$5+N273*Summary!$F$6+O273*Summary!$F$7+P273*Summary!$F$8+Q273*Summary!$F$9)/Summary!$F$10)</f>
        <v/>
      </c>
      <c r="S273" s="17" t="str">
        <f t="shared" si="1"/>
        <v/>
      </c>
      <c r="T273" s="17" t="str">
        <f>IF(S273="","",IF(S273&lt;=Summary!$B$5,"Featured candidate",""))</f>
        <v/>
      </c>
    </row>
    <row r="274" ht="14.25" customHeight="1">
      <c r="A274" s="17" t="str">
        <f t="shared" si="2"/>
        <v/>
      </c>
      <c r="B274" s="13"/>
      <c r="C274" s="13"/>
      <c r="D274" s="13"/>
      <c r="E274" s="13"/>
      <c r="F274" s="13"/>
      <c r="G274" s="13"/>
      <c r="H274" s="13"/>
      <c r="I274" s="13"/>
      <c r="J274" s="13"/>
      <c r="K274" s="13"/>
      <c r="L274" s="13"/>
      <c r="M274" s="15"/>
      <c r="N274" s="15"/>
      <c r="O274" s="15"/>
      <c r="P274" s="15"/>
      <c r="Q274" s="15"/>
      <c r="R274" s="16" t="str">
        <f>IF(COUNT(M274:Q274)&lt;5,"",(M274*Summary!$F$5+N274*Summary!$F$6+O274*Summary!$F$7+P274*Summary!$F$8+Q274*Summary!$F$9)/Summary!$F$10)</f>
        <v/>
      </c>
      <c r="S274" s="17" t="str">
        <f t="shared" si="1"/>
        <v/>
      </c>
      <c r="T274" s="17" t="str">
        <f>IF(S274="","",IF(S274&lt;=Summary!$B$5,"Featured candidate",""))</f>
        <v/>
      </c>
    </row>
    <row r="275" ht="14.25" customHeight="1">
      <c r="A275" s="17" t="str">
        <f t="shared" si="2"/>
        <v/>
      </c>
      <c r="B275" s="13"/>
      <c r="C275" s="13"/>
      <c r="D275" s="13"/>
      <c r="E275" s="13"/>
      <c r="F275" s="13"/>
      <c r="G275" s="13"/>
      <c r="H275" s="13"/>
      <c r="I275" s="13"/>
      <c r="J275" s="13"/>
      <c r="K275" s="13"/>
      <c r="L275" s="13"/>
      <c r="M275" s="15"/>
      <c r="N275" s="15"/>
      <c r="O275" s="15"/>
      <c r="P275" s="15"/>
      <c r="Q275" s="15"/>
      <c r="R275" s="16" t="str">
        <f>IF(COUNT(M275:Q275)&lt;5,"",(M275*Summary!$F$5+N275*Summary!$F$6+O275*Summary!$F$7+P275*Summary!$F$8+Q275*Summary!$F$9)/Summary!$F$10)</f>
        <v/>
      </c>
      <c r="S275" s="17" t="str">
        <f t="shared" si="1"/>
        <v/>
      </c>
      <c r="T275" s="17" t="str">
        <f>IF(S275="","",IF(S275&lt;=Summary!$B$5,"Featured candidate",""))</f>
        <v/>
      </c>
    </row>
    <row r="276" ht="14.25" customHeight="1">
      <c r="A276" s="17" t="str">
        <f t="shared" si="2"/>
        <v/>
      </c>
      <c r="B276" s="13"/>
      <c r="C276" s="13"/>
      <c r="D276" s="13"/>
      <c r="E276" s="13"/>
      <c r="F276" s="13"/>
      <c r="G276" s="13"/>
      <c r="H276" s="13"/>
      <c r="I276" s="13"/>
      <c r="J276" s="13"/>
      <c r="K276" s="13"/>
      <c r="L276" s="13"/>
      <c r="M276" s="15"/>
      <c r="N276" s="15"/>
      <c r="O276" s="15"/>
      <c r="P276" s="15"/>
      <c r="Q276" s="15"/>
      <c r="R276" s="16" t="str">
        <f>IF(COUNT(M276:Q276)&lt;5,"",(M276*Summary!$F$5+N276*Summary!$F$6+O276*Summary!$F$7+P276*Summary!$F$8+Q276*Summary!$F$9)/Summary!$F$10)</f>
        <v/>
      </c>
      <c r="S276" s="17" t="str">
        <f t="shared" si="1"/>
        <v/>
      </c>
      <c r="T276" s="17" t="str">
        <f>IF(S276="","",IF(S276&lt;=Summary!$B$5,"Featured candidate",""))</f>
        <v/>
      </c>
    </row>
    <row r="277" ht="14.25" customHeight="1">
      <c r="A277" s="17" t="str">
        <f t="shared" si="2"/>
        <v/>
      </c>
      <c r="B277" s="13"/>
      <c r="C277" s="13"/>
      <c r="D277" s="13"/>
      <c r="E277" s="13"/>
      <c r="F277" s="13"/>
      <c r="G277" s="13"/>
      <c r="H277" s="13"/>
      <c r="I277" s="13"/>
      <c r="J277" s="13"/>
      <c r="K277" s="13"/>
      <c r="L277" s="13"/>
      <c r="M277" s="15"/>
      <c r="N277" s="15"/>
      <c r="O277" s="15"/>
      <c r="P277" s="15"/>
      <c r="Q277" s="15"/>
      <c r="R277" s="16" t="str">
        <f>IF(COUNT(M277:Q277)&lt;5,"",(M277*Summary!$F$5+N277*Summary!$F$6+O277*Summary!$F$7+P277*Summary!$F$8+Q277*Summary!$F$9)/Summary!$F$10)</f>
        <v/>
      </c>
      <c r="S277" s="17" t="str">
        <f t="shared" si="1"/>
        <v/>
      </c>
      <c r="T277" s="17" t="str">
        <f>IF(S277="","",IF(S277&lt;=Summary!$B$5,"Featured candidate",""))</f>
        <v/>
      </c>
    </row>
    <row r="278" ht="14.25" customHeight="1">
      <c r="A278" s="17" t="str">
        <f t="shared" si="2"/>
        <v/>
      </c>
      <c r="B278" s="13"/>
      <c r="C278" s="13"/>
      <c r="D278" s="13"/>
      <c r="E278" s="13"/>
      <c r="F278" s="13"/>
      <c r="G278" s="13"/>
      <c r="H278" s="13"/>
      <c r="I278" s="13"/>
      <c r="J278" s="13"/>
      <c r="K278" s="13"/>
      <c r="L278" s="13"/>
      <c r="M278" s="15"/>
      <c r="N278" s="15"/>
      <c r="O278" s="15"/>
      <c r="P278" s="15"/>
      <c r="Q278" s="15"/>
      <c r="R278" s="16" t="str">
        <f>IF(COUNT(M278:Q278)&lt;5,"",(M278*Summary!$F$5+N278*Summary!$F$6+O278*Summary!$F$7+P278*Summary!$F$8+Q278*Summary!$F$9)/Summary!$F$10)</f>
        <v/>
      </c>
      <c r="S278" s="17" t="str">
        <f t="shared" si="1"/>
        <v/>
      </c>
      <c r="T278" s="17" t="str">
        <f>IF(S278="","",IF(S278&lt;=Summary!$B$5,"Featured candidate",""))</f>
        <v/>
      </c>
    </row>
    <row r="279" ht="14.25" customHeight="1">
      <c r="A279" s="17" t="str">
        <f t="shared" si="2"/>
        <v/>
      </c>
      <c r="B279" s="13"/>
      <c r="C279" s="13"/>
      <c r="D279" s="13"/>
      <c r="E279" s="13"/>
      <c r="F279" s="13"/>
      <c r="G279" s="13"/>
      <c r="H279" s="13"/>
      <c r="I279" s="13"/>
      <c r="J279" s="13"/>
      <c r="K279" s="13"/>
      <c r="L279" s="13"/>
      <c r="M279" s="15"/>
      <c r="N279" s="15"/>
      <c r="O279" s="15"/>
      <c r="P279" s="15"/>
      <c r="Q279" s="15"/>
      <c r="R279" s="16" t="str">
        <f>IF(COUNT(M279:Q279)&lt;5,"",(M279*Summary!$F$5+N279*Summary!$F$6+O279*Summary!$F$7+P279*Summary!$F$8+Q279*Summary!$F$9)/Summary!$F$10)</f>
        <v/>
      </c>
      <c r="S279" s="17" t="str">
        <f t="shared" si="1"/>
        <v/>
      </c>
      <c r="T279" s="17" t="str">
        <f>IF(S279="","",IF(S279&lt;=Summary!$B$5,"Featured candidate",""))</f>
        <v/>
      </c>
    </row>
    <row r="280" ht="14.25" customHeight="1">
      <c r="A280" s="17" t="str">
        <f t="shared" si="2"/>
        <v/>
      </c>
      <c r="B280" s="13"/>
      <c r="C280" s="13"/>
      <c r="D280" s="13"/>
      <c r="E280" s="13"/>
      <c r="F280" s="13"/>
      <c r="G280" s="13"/>
      <c r="H280" s="13"/>
      <c r="I280" s="13"/>
      <c r="J280" s="13"/>
      <c r="K280" s="13"/>
      <c r="L280" s="13"/>
      <c r="M280" s="15"/>
      <c r="N280" s="15"/>
      <c r="O280" s="15"/>
      <c r="P280" s="15"/>
      <c r="Q280" s="15"/>
      <c r="R280" s="16" t="str">
        <f>IF(COUNT(M280:Q280)&lt;5,"",(M280*Summary!$F$5+N280*Summary!$F$6+O280*Summary!$F$7+P280*Summary!$F$8+Q280*Summary!$F$9)/Summary!$F$10)</f>
        <v/>
      </c>
      <c r="S280" s="17" t="str">
        <f t="shared" si="1"/>
        <v/>
      </c>
      <c r="T280" s="17" t="str">
        <f>IF(S280="","",IF(S280&lt;=Summary!$B$5,"Featured candidate",""))</f>
        <v/>
      </c>
    </row>
    <row r="281" ht="14.25" customHeight="1">
      <c r="A281" s="17" t="str">
        <f t="shared" si="2"/>
        <v/>
      </c>
      <c r="B281" s="13"/>
      <c r="C281" s="13"/>
      <c r="D281" s="13"/>
      <c r="E281" s="13"/>
      <c r="F281" s="13"/>
      <c r="G281" s="13"/>
      <c r="H281" s="13"/>
      <c r="I281" s="13"/>
      <c r="J281" s="13"/>
      <c r="K281" s="13"/>
      <c r="L281" s="13"/>
      <c r="M281" s="15"/>
      <c r="N281" s="15"/>
      <c r="O281" s="15"/>
      <c r="P281" s="15"/>
      <c r="Q281" s="15"/>
      <c r="R281" s="16" t="str">
        <f>IF(COUNT(M281:Q281)&lt;5,"",(M281*Summary!$F$5+N281*Summary!$F$6+O281*Summary!$F$7+P281*Summary!$F$8+Q281*Summary!$F$9)/Summary!$F$10)</f>
        <v/>
      </c>
      <c r="S281" s="17" t="str">
        <f t="shared" si="1"/>
        <v/>
      </c>
      <c r="T281" s="17" t="str">
        <f>IF(S281="","",IF(S281&lt;=Summary!$B$5,"Featured candidate",""))</f>
        <v/>
      </c>
    </row>
    <row r="282" ht="14.25" customHeight="1">
      <c r="A282" s="17" t="str">
        <f t="shared" si="2"/>
        <v/>
      </c>
      <c r="B282" s="13"/>
      <c r="C282" s="13"/>
      <c r="D282" s="13"/>
      <c r="E282" s="13"/>
      <c r="F282" s="13"/>
      <c r="G282" s="13"/>
      <c r="H282" s="13"/>
      <c r="I282" s="13"/>
      <c r="J282" s="13"/>
      <c r="K282" s="13"/>
      <c r="L282" s="13"/>
      <c r="M282" s="15"/>
      <c r="N282" s="15"/>
      <c r="O282" s="15"/>
      <c r="P282" s="15"/>
      <c r="Q282" s="15"/>
      <c r="R282" s="16" t="str">
        <f>IF(COUNT(M282:Q282)&lt;5,"",(M282*Summary!$F$5+N282*Summary!$F$6+O282*Summary!$F$7+P282*Summary!$F$8+Q282*Summary!$F$9)/Summary!$F$10)</f>
        <v/>
      </c>
      <c r="S282" s="17" t="str">
        <f t="shared" si="1"/>
        <v/>
      </c>
      <c r="T282" s="17" t="str">
        <f>IF(S282="","",IF(S282&lt;=Summary!$B$5,"Featured candidate",""))</f>
        <v/>
      </c>
    </row>
    <row r="283" ht="14.25" customHeight="1">
      <c r="A283" s="17" t="str">
        <f t="shared" si="2"/>
        <v/>
      </c>
      <c r="B283" s="13"/>
      <c r="C283" s="13"/>
      <c r="D283" s="13"/>
      <c r="E283" s="13"/>
      <c r="F283" s="13"/>
      <c r="G283" s="13"/>
      <c r="H283" s="13"/>
      <c r="I283" s="13"/>
      <c r="J283" s="13"/>
      <c r="K283" s="13"/>
      <c r="L283" s="13"/>
      <c r="M283" s="15"/>
      <c r="N283" s="15"/>
      <c r="O283" s="15"/>
      <c r="P283" s="15"/>
      <c r="Q283" s="15"/>
      <c r="R283" s="16" t="str">
        <f>IF(COUNT(M283:Q283)&lt;5,"",(M283*Summary!$F$5+N283*Summary!$F$6+O283*Summary!$F$7+P283*Summary!$F$8+Q283*Summary!$F$9)/Summary!$F$10)</f>
        <v/>
      </c>
      <c r="S283" s="17" t="str">
        <f t="shared" si="1"/>
        <v/>
      </c>
      <c r="T283" s="17" t="str">
        <f>IF(S283="","",IF(S283&lt;=Summary!$B$5,"Featured candidate",""))</f>
        <v/>
      </c>
    </row>
    <row r="284" ht="14.25" customHeight="1">
      <c r="A284" s="17" t="str">
        <f t="shared" si="2"/>
        <v/>
      </c>
      <c r="B284" s="13"/>
      <c r="C284" s="13"/>
      <c r="D284" s="13"/>
      <c r="E284" s="13"/>
      <c r="F284" s="13"/>
      <c r="G284" s="13"/>
      <c r="H284" s="13"/>
      <c r="I284" s="13"/>
      <c r="J284" s="13"/>
      <c r="K284" s="13"/>
      <c r="L284" s="13"/>
      <c r="M284" s="15"/>
      <c r="N284" s="15"/>
      <c r="O284" s="15"/>
      <c r="P284" s="15"/>
      <c r="Q284" s="15"/>
      <c r="R284" s="16" t="str">
        <f>IF(COUNT(M284:Q284)&lt;5,"",(M284*Summary!$F$5+N284*Summary!$F$6+O284*Summary!$F$7+P284*Summary!$F$8+Q284*Summary!$F$9)/Summary!$F$10)</f>
        <v/>
      </c>
      <c r="S284" s="17" t="str">
        <f t="shared" si="1"/>
        <v/>
      </c>
      <c r="T284" s="17" t="str">
        <f>IF(S284="","",IF(S284&lt;=Summary!$B$5,"Featured candidate",""))</f>
        <v/>
      </c>
    </row>
    <row r="285" ht="14.25" customHeight="1">
      <c r="A285" s="17" t="str">
        <f t="shared" si="2"/>
        <v/>
      </c>
      <c r="B285" s="13"/>
      <c r="C285" s="13"/>
      <c r="D285" s="13"/>
      <c r="E285" s="13"/>
      <c r="F285" s="13"/>
      <c r="G285" s="13"/>
      <c r="H285" s="13"/>
      <c r="I285" s="13"/>
      <c r="J285" s="13"/>
      <c r="K285" s="13"/>
      <c r="L285" s="13"/>
      <c r="M285" s="15"/>
      <c r="N285" s="15"/>
      <c r="O285" s="15"/>
      <c r="P285" s="15"/>
      <c r="Q285" s="15"/>
      <c r="R285" s="16" t="str">
        <f>IF(COUNT(M285:Q285)&lt;5,"",(M285*Summary!$F$5+N285*Summary!$F$6+O285*Summary!$F$7+P285*Summary!$F$8+Q285*Summary!$F$9)/Summary!$F$10)</f>
        <v/>
      </c>
      <c r="S285" s="17" t="str">
        <f t="shared" si="1"/>
        <v/>
      </c>
      <c r="T285" s="17" t="str">
        <f>IF(S285="","",IF(S285&lt;=Summary!$B$5,"Featured candidate",""))</f>
        <v/>
      </c>
    </row>
    <row r="286" ht="14.25" customHeight="1">
      <c r="A286" s="17" t="str">
        <f t="shared" si="2"/>
        <v/>
      </c>
      <c r="B286" s="13"/>
      <c r="C286" s="13"/>
      <c r="D286" s="13"/>
      <c r="E286" s="13"/>
      <c r="F286" s="13"/>
      <c r="G286" s="13"/>
      <c r="H286" s="13"/>
      <c r="I286" s="13"/>
      <c r="J286" s="13"/>
      <c r="K286" s="13"/>
      <c r="L286" s="13"/>
      <c r="M286" s="15"/>
      <c r="N286" s="15"/>
      <c r="O286" s="15"/>
      <c r="P286" s="15"/>
      <c r="Q286" s="15"/>
      <c r="R286" s="16" t="str">
        <f>IF(COUNT(M286:Q286)&lt;5,"",(M286*Summary!$F$5+N286*Summary!$F$6+O286*Summary!$F$7+P286*Summary!$F$8+Q286*Summary!$F$9)/Summary!$F$10)</f>
        <v/>
      </c>
      <c r="S286" s="17" t="str">
        <f t="shared" si="1"/>
        <v/>
      </c>
      <c r="T286" s="17" t="str">
        <f>IF(S286="","",IF(S286&lt;=Summary!$B$5,"Featured candidate",""))</f>
        <v/>
      </c>
    </row>
    <row r="287" ht="14.25" customHeight="1">
      <c r="A287" s="17" t="str">
        <f t="shared" si="2"/>
        <v/>
      </c>
      <c r="B287" s="13"/>
      <c r="C287" s="13"/>
      <c r="D287" s="13"/>
      <c r="E287" s="13"/>
      <c r="F287" s="13"/>
      <c r="G287" s="13"/>
      <c r="H287" s="13"/>
      <c r="I287" s="13"/>
      <c r="J287" s="13"/>
      <c r="K287" s="13"/>
      <c r="L287" s="13"/>
      <c r="M287" s="15"/>
      <c r="N287" s="15"/>
      <c r="O287" s="15"/>
      <c r="P287" s="15"/>
      <c r="Q287" s="15"/>
      <c r="R287" s="16" t="str">
        <f>IF(COUNT(M287:Q287)&lt;5,"",(M287*Summary!$F$5+N287*Summary!$F$6+O287*Summary!$F$7+P287*Summary!$F$8+Q287*Summary!$F$9)/Summary!$F$10)</f>
        <v/>
      </c>
      <c r="S287" s="17" t="str">
        <f t="shared" si="1"/>
        <v/>
      </c>
      <c r="T287" s="17" t="str">
        <f>IF(S287="","",IF(S287&lt;=Summary!$B$5,"Featured candidate",""))</f>
        <v/>
      </c>
    </row>
    <row r="288" ht="14.25" customHeight="1">
      <c r="A288" s="17" t="str">
        <f t="shared" si="2"/>
        <v/>
      </c>
      <c r="B288" s="13"/>
      <c r="C288" s="13"/>
      <c r="D288" s="13"/>
      <c r="E288" s="13"/>
      <c r="F288" s="13"/>
      <c r="G288" s="13"/>
      <c r="H288" s="13"/>
      <c r="I288" s="13"/>
      <c r="J288" s="13"/>
      <c r="K288" s="13"/>
      <c r="L288" s="13"/>
      <c r="M288" s="15"/>
      <c r="N288" s="15"/>
      <c r="O288" s="15"/>
      <c r="P288" s="15"/>
      <c r="Q288" s="15"/>
      <c r="R288" s="16" t="str">
        <f>IF(COUNT(M288:Q288)&lt;5,"",(M288*Summary!$F$5+N288*Summary!$F$6+O288*Summary!$F$7+P288*Summary!$F$8+Q288*Summary!$F$9)/Summary!$F$10)</f>
        <v/>
      </c>
      <c r="S288" s="17" t="str">
        <f t="shared" si="1"/>
        <v/>
      </c>
      <c r="T288" s="17" t="str">
        <f>IF(S288="","",IF(S288&lt;=Summary!$B$5,"Featured candidate",""))</f>
        <v/>
      </c>
    </row>
    <row r="289" ht="14.25" customHeight="1">
      <c r="A289" s="17" t="str">
        <f t="shared" si="2"/>
        <v/>
      </c>
      <c r="B289" s="13"/>
      <c r="C289" s="13"/>
      <c r="D289" s="13"/>
      <c r="E289" s="13"/>
      <c r="F289" s="13"/>
      <c r="G289" s="13"/>
      <c r="H289" s="13"/>
      <c r="I289" s="13"/>
      <c r="J289" s="13"/>
      <c r="K289" s="13"/>
      <c r="L289" s="13"/>
      <c r="M289" s="15"/>
      <c r="N289" s="15"/>
      <c r="O289" s="15"/>
      <c r="P289" s="15"/>
      <c r="Q289" s="15"/>
      <c r="R289" s="16" t="str">
        <f>IF(COUNT(M289:Q289)&lt;5,"",(M289*Summary!$F$5+N289*Summary!$F$6+O289*Summary!$F$7+P289*Summary!$F$8+Q289*Summary!$F$9)/Summary!$F$10)</f>
        <v/>
      </c>
      <c r="S289" s="17" t="str">
        <f t="shared" si="1"/>
        <v/>
      </c>
      <c r="T289" s="17" t="str">
        <f>IF(S289="","",IF(S289&lt;=Summary!$B$5,"Featured candidate",""))</f>
        <v/>
      </c>
    </row>
    <row r="290" ht="14.25" customHeight="1">
      <c r="A290" s="17" t="str">
        <f t="shared" si="2"/>
        <v/>
      </c>
      <c r="B290" s="13"/>
      <c r="C290" s="13"/>
      <c r="D290" s="13"/>
      <c r="E290" s="13"/>
      <c r="F290" s="13"/>
      <c r="G290" s="13"/>
      <c r="H290" s="13"/>
      <c r="I290" s="13"/>
      <c r="J290" s="13"/>
      <c r="K290" s="13"/>
      <c r="L290" s="13"/>
      <c r="M290" s="15"/>
      <c r="N290" s="15"/>
      <c r="O290" s="15"/>
      <c r="P290" s="15"/>
      <c r="Q290" s="15"/>
      <c r="R290" s="16" t="str">
        <f>IF(COUNT(M290:Q290)&lt;5,"",(M290*Summary!$F$5+N290*Summary!$F$6+O290*Summary!$F$7+P290*Summary!$F$8+Q290*Summary!$F$9)/Summary!$F$10)</f>
        <v/>
      </c>
      <c r="S290" s="17" t="str">
        <f t="shared" si="1"/>
        <v/>
      </c>
      <c r="T290" s="17" t="str">
        <f>IF(S290="","",IF(S290&lt;=Summary!$B$5,"Featured candidate",""))</f>
        <v/>
      </c>
    </row>
    <row r="291" ht="14.25" customHeight="1">
      <c r="A291" s="17" t="str">
        <f t="shared" si="2"/>
        <v/>
      </c>
      <c r="B291" s="13"/>
      <c r="C291" s="13"/>
      <c r="D291" s="13"/>
      <c r="E291" s="13"/>
      <c r="F291" s="13"/>
      <c r="G291" s="13"/>
      <c r="H291" s="13"/>
      <c r="I291" s="13"/>
      <c r="J291" s="13"/>
      <c r="K291" s="13"/>
      <c r="L291" s="13"/>
      <c r="M291" s="15"/>
      <c r="N291" s="15"/>
      <c r="O291" s="15"/>
      <c r="P291" s="15"/>
      <c r="Q291" s="15"/>
      <c r="R291" s="16" t="str">
        <f>IF(COUNT(M291:Q291)&lt;5,"",(M291*Summary!$F$5+N291*Summary!$F$6+O291*Summary!$F$7+P291*Summary!$F$8+Q291*Summary!$F$9)/Summary!$F$10)</f>
        <v/>
      </c>
      <c r="S291" s="17" t="str">
        <f t="shared" si="1"/>
        <v/>
      </c>
      <c r="T291" s="17" t="str">
        <f>IF(S291="","",IF(S291&lt;=Summary!$B$5,"Featured candidate",""))</f>
        <v/>
      </c>
    </row>
    <row r="292" ht="14.25" customHeight="1">
      <c r="A292" s="17" t="str">
        <f t="shared" si="2"/>
        <v/>
      </c>
      <c r="B292" s="13"/>
      <c r="C292" s="13"/>
      <c r="D292" s="13"/>
      <c r="E292" s="13"/>
      <c r="F292" s="13"/>
      <c r="G292" s="13"/>
      <c r="H292" s="13"/>
      <c r="I292" s="13"/>
      <c r="J292" s="13"/>
      <c r="K292" s="13"/>
      <c r="L292" s="13"/>
      <c r="M292" s="15"/>
      <c r="N292" s="15"/>
      <c r="O292" s="15"/>
      <c r="P292" s="15"/>
      <c r="Q292" s="15"/>
      <c r="R292" s="16" t="str">
        <f>IF(COUNT(M292:Q292)&lt;5,"",(M292*Summary!$F$5+N292*Summary!$F$6+O292*Summary!$F$7+P292*Summary!$F$8+Q292*Summary!$F$9)/Summary!$F$10)</f>
        <v/>
      </c>
      <c r="S292" s="17" t="str">
        <f t="shared" si="1"/>
        <v/>
      </c>
      <c r="T292" s="17" t="str">
        <f>IF(S292="","",IF(S292&lt;=Summary!$B$5,"Featured candidate",""))</f>
        <v/>
      </c>
    </row>
    <row r="293" ht="14.25" customHeight="1">
      <c r="A293" s="17" t="str">
        <f t="shared" si="2"/>
        <v/>
      </c>
      <c r="B293" s="13"/>
      <c r="C293" s="13"/>
      <c r="D293" s="13"/>
      <c r="E293" s="13"/>
      <c r="F293" s="13"/>
      <c r="G293" s="13"/>
      <c r="H293" s="13"/>
      <c r="I293" s="13"/>
      <c r="J293" s="13"/>
      <c r="K293" s="13"/>
      <c r="L293" s="13"/>
      <c r="M293" s="15"/>
      <c r="N293" s="15"/>
      <c r="O293" s="15"/>
      <c r="P293" s="15"/>
      <c r="Q293" s="15"/>
      <c r="R293" s="16" t="str">
        <f>IF(COUNT(M293:Q293)&lt;5,"",(M293*Summary!$F$5+N293*Summary!$F$6+O293*Summary!$F$7+P293*Summary!$F$8+Q293*Summary!$F$9)/Summary!$F$10)</f>
        <v/>
      </c>
      <c r="S293" s="17" t="str">
        <f t="shared" si="1"/>
        <v/>
      </c>
      <c r="T293" s="17" t="str">
        <f>IF(S293="","",IF(S293&lt;=Summary!$B$5,"Featured candidate",""))</f>
        <v/>
      </c>
    </row>
    <row r="294" ht="14.25" customHeight="1">
      <c r="A294" s="17" t="str">
        <f t="shared" si="2"/>
        <v/>
      </c>
      <c r="B294" s="13"/>
      <c r="C294" s="13"/>
      <c r="D294" s="13"/>
      <c r="E294" s="13"/>
      <c r="F294" s="13"/>
      <c r="G294" s="13"/>
      <c r="H294" s="13"/>
      <c r="I294" s="13"/>
      <c r="J294" s="13"/>
      <c r="K294" s="13"/>
      <c r="L294" s="13"/>
      <c r="M294" s="15"/>
      <c r="N294" s="15"/>
      <c r="O294" s="15"/>
      <c r="P294" s="15"/>
      <c r="Q294" s="15"/>
      <c r="R294" s="16" t="str">
        <f>IF(COUNT(M294:Q294)&lt;5,"",(M294*Summary!$F$5+N294*Summary!$F$6+O294*Summary!$F$7+P294*Summary!$F$8+Q294*Summary!$F$9)/Summary!$F$10)</f>
        <v/>
      </c>
      <c r="S294" s="17" t="str">
        <f t="shared" si="1"/>
        <v/>
      </c>
      <c r="T294" s="17" t="str">
        <f>IF(S294="","",IF(S294&lt;=Summary!$B$5,"Featured candidate",""))</f>
        <v/>
      </c>
    </row>
    <row r="295" ht="14.25" customHeight="1">
      <c r="A295" s="17" t="str">
        <f t="shared" si="2"/>
        <v/>
      </c>
      <c r="B295" s="13"/>
      <c r="C295" s="13"/>
      <c r="D295" s="13"/>
      <c r="E295" s="13"/>
      <c r="F295" s="13"/>
      <c r="G295" s="13"/>
      <c r="H295" s="13"/>
      <c r="I295" s="13"/>
      <c r="J295" s="13"/>
      <c r="K295" s="13"/>
      <c r="L295" s="13"/>
      <c r="M295" s="15"/>
      <c r="N295" s="15"/>
      <c r="O295" s="15"/>
      <c r="P295" s="15"/>
      <c r="Q295" s="15"/>
      <c r="R295" s="16" t="str">
        <f>IF(COUNT(M295:Q295)&lt;5,"",(M295*Summary!$F$5+N295*Summary!$F$6+O295*Summary!$F$7+P295*Summary!$F$8+Q295*Summary!$F$9)/Summary!$F$10)</f>
        <v/>
      </c>
      <c r="S295" s="17" t="str">
        <f t="shared" si="1"/>
        <v/>
      </c>
      <c r="T295" s="17" t="str">
        <f>IF(S295="","",IF(S295&lt;=Summary!$B$5,"Featured candidate",""))</f>
        <v/>
      </c>
    </row>
    <row r="296" ht="14.25" customHeight="1">
      <c r="A296" s="17" t="str">
        <f t="shared" si="2"/>
        <v/>
      </c>
      <c r="B296" s="13"/>
      <c r="C296" s="13"/>
      <c r="D296" s="13"/>
      <c r="E296" s="13"/>
      <c r="F296" s="13"/>
      <c r="G296" s="13"/>
      <c r="H296" s="13"/>
      <c r="I296" s="13"/>
      <c r="J296" s="13"/>
      <c r="K296" s="13"/>
      <c r="L296" s="13"/>
      <c r="M296" s="15"/>
      <c r="N296" s="15"/>
      <c r="O296" s="15"/>
      <c r="P296" s="15"/>
      <c r="Q296" s="15"/>
      <c r="R296" s="16" t="str">
        <f>IF(COUNT(M296:Q296)&lt;5,"",(M296*Summary!$F$5+N296*Summary!$F$6+O296*Summary!$F$7+P296*Summary!$F$8+Q296*Summary!$F$9)/Summary!$F$10)</f>
        <v/>
      </c>
      <c r="S296" s="17" t="str">
        <f t="shared" si="1"/>
        <v/>
      </c>
      <c r="T296" s="17" t="str">
        <f>IF(S296="","",IF(S296&lt;=Summary!$B$5,"Featured candidate",""))</f>
        <v/>
      </c>
    </row>
    <row r="297" ht="14.25" customHeight="1">
      <c r="A297" s="17" t="str">
        <f t="shared" si="2"/>
        <v/>
      </c>
      <c r="B297" s="13"/>
      <c r="C297" s="13"/>
      <c r="D297" s="13"/>
      <c r="E297" s="13"/>
      <c r="F297" s="13"/>
      <c r="G297" s="13"/>
      <c r="H297" s="13"/>
      <c r="I297" s="13"/>
      <c r="J297" s="13"/>
      <c r="K297" s="13"/>
      <c r="L297" s="13"/>
      <c r="M297" s="15"/>
      <c r="N297" s="15"/>
      <c r="O297" s="15"/>
      <c r="P297" s="15"/>
      <c r="Q297" s="15"/>
      <c r="R297" s="16" t="str">
        <f>IF(COUNT(M297:Q297)&lt;5,"",(M297*Summary!$F$5+N297*Summary!$F$6+O297*Summary!$F$7+P297*Summary!$F$8+Q297*Summary!$F$9)/Summary!$F$10)</f>
        <v/>
      </c>
      <c r="S297" s="17" t="str">
        <f t="shared" si="1"/>
        <v/>
      </c>
      <c r="T297" s="17" t="str">
        <f>IF(S297="","",IF(S297&lt;=Summary!$B$5,"Featured candidate",""))</f>
        <v/>
      </c>
    </row>
    <row r="298" ht="14.25" customHeight="1">
      <c r="A298" s="17" t="str">
        <f t="shared" si="2"/>
        <v/>
      </c>
      <c r="B298" s="13"/>
      <c r="C298" s="13"/>
      <c r="D298" s="13"/>
      <c r="E298" s="13"/>
      <c r="F298" s="13"/>
      <c r="G298" s="13"/>
      <c r="H298" s="13"/>
      <c r="I298" s="13"/>
      <c r="J298" s="13"/>
      <c r="K298" s="13"/>
      <c r="L298" s="13"/>
      <c r="M298" s="15"/>
      <c r="N298" s="15"/>
      <c r="O298" s="15"/>
      <c r="P298" s="15"/>
      <c r="Q298" s="15"/>
      <c r="R298" s="16" t="str">
        <f>IF(COUNT(M298:Q298)&lt;5,"",(M298*Summary!$F$5+N298*Summary!$F$6+O298*Summary!$F$7+P298*Summary!$F$8+Q298*Summary!$F$9)/Summary!$F$10)</f>
        <v/>
      </c>
      <c r="S298" s="17" t="str">
        <f t="shared" si="1"/>
        <v/>
      </c>
      <c r="T298" s="17" t="str">
        <f>IF(S298="","",IF(S298&lt;=Summary!$B$5,"Featured candidate",""))</f>
        <v/>
      </c>
    </row>
    <row r="299" ht="14.25" customHeight="1">
      <c r="A299" s="17" t="str">
        <f t="shared" si="2"/>
        <v/>
      </c>
      <c r="B299" s="13"/>
      <c r="C299" s="13"/>
      <c r="D299" s="13"/>
      <c r="E299" s="13"/>
      <c r="F299" s="13"/>
      <c r="G299" s="13"/>
      <c r="H299" s="13"/>
      <c r="I299" s="13"/>
      <c r="J299" s="13"/>
      <c r="K299" s="13"/>
      <c r="L299" s="13"/>
      <c r="M299" s="15"/>
      <c r="N299" s="15"/>
      <c r="O299" s="15"/>
      <c r="P299" s="15"/>
      <c r="Q299" s="15"/>
      <c r="R299" s="16" t="str">
        <f>IF(COUNT(M299:Q299)&lt;5,"",(M299*Summary!$F$5+N299*Summary!$F$6+O299*Summary!$F$7+P299*Summary!$F$8+Q299*Summary!$F$9)/Summary!$F$10)</f>
        <v/>
      </c>
      <c r="S299" s="17" t="str">
        <f t="shared" si="1"/>
        <v/>
      </c>
      <c r="T299" s="17" t="str">
        <f>IF(S299="","",IF(S299&lt;=Summary!$B$5,"Featured candidate",""))</f>
        <v/>
      </c>
    </row>
    <row r="300" ht="14.25" customHeight="1">
      <c r="A300" s="17" t="str">
        <f t="shared" si="2"/>
        <v/>
      </c>
      <c r="B300" s="13"/>
      <c r="C300" s="13"/>
      <c r="D300" s="13"/>
      <c r="E300" s="13"/>
      <c r="F300" s="13"/>
      <c r="G300" s="13"/>
      <c r="H300" s="13"/>
      <c r="I300" s="13"/>
      <c r="J300" s="13"/>
      <c r="K300" s="13"/>
      <c r="L300" s="13"/>
      <c r="M300" s="15"/>
      <c r="N300" s="15"/>
      <c r="O300" s="15"/>
      <c r="P300" s="15"/>
      <c r="Q300" s="15"/>
      <c r="R300" s="16" t="str">
        <f>IF(COUNT(M300:Q300)&lt;5,"",(M300*Summary!$F$5+N300*Summary!$F$6+O300*Summary!$F$7+P300*Summary!$F$8+Q300*Summary!$F$9)/Summary!$F$10)</f>
        <v/>
      </c>
      <c r="S300" s="17" t="str">
        <f t="shared" si="1"/>
        <v/>
      </c>
      <c r="T300" s="17" t="str">
        <f>IF(S300="","",IF(S300&lt;=Summary!$B$5,"Featured candidate",""))</f>
        <v/>
      </c>
    </row>
    <row r="301" ht="14.25" customHeight="1">
      <c r="A301" s="17" t="str">
        <f t="shared" si="2"/>
        <v/>
      </c>
      <c r="B301" s="13"/>
      <c r="C301" s="13"/>
      <c r="D301" s="13"/>
      <c r="E301" s="13"/>
      <c r="F301" s="13"/>
      <c r="G301" s="13"/>
      <c r="H301" s="13"/>
      <c r="I301" s="13"/>
      <c r="J301" s="13"/>
      <c r="K301" s="13"/>
      <c r="L301" s="13"/>
      <c r="M301" s="15"/>
      <c r="N301" s="15"/>
      <c r="O301" s="15"/>
      <c r="P301" s="15"/>
      <c r="Q301" s="15"/>
      <c r="R301" s="16" t="str">
        <f>IF(COUNT(M301:Q301)&lt;5,"",(M301*Summary!$F$5+N301*Summary!$F$6+O301*Summary!$F$7+P301*Summary!$F$8+Q301*Summary!$F$9)/Summary!$F$10)</f>
        <v/>
      </c>
      <c r="S301" s="17" t="str">
        <f t="shared" si="1"/>
        <v/>
      </c>
      <c r="T301" s="17" t="str">
        <f>IF(S301="","",IF(S301&lt;=Summary!$B$5,"Featured candidate",""))</f>
        <v/>
      </c>
    </row>
    <row r="302" ht="14.25" customHeight="1">
      <c r="A302" s="17" t="str">
        <f t="shared" si="2"/>
        <v/>
      </c>
      <c r="B302" s="13"/>
      <c r="C302" s="13"/>
      <c r="D302" s="13"/>
      <c r="E302" s="13"/>
      <c r="F302" s="13"/>
      <c r="G302" s="13"/>
      <c r="H302" s="13"/>
      <c r="I302" s="13"/>
      <c r="J302" s="13"/>
      <c r="K302" s="13"/>
      <c r="L302" s="13"/>
      <c r="M302" s="15"/>
      <c r="N302" s="15"/>
      <c r="O302" s="15"/>
      <c r="P302" s="15"/>
      <c r="Q302" s="15"/>
      <c r="R302" s="16" t="str">
        <f>IF(COUNT(M302:Q302)&lt;5,"",(M302*Summary!$F$5+N302*Summary!$F$6+O302*Summary!$F$7+P302*Summary!$F$8+Q302*Summary!$F$9)/Summary!$F$10)</f>
        <v/>
      </c>
      <c r="S302" s="17" t="str">
        <f t="shared" si="1"/>
        <v/>
      </c>
      <c r="T302" s="17" t="str">
        <f>IF(S302="","",IF(S302&lt;=Summary!$B$5,"Featured candidate",""))</f>
        <v/>
      </c>
    </row>
    <row r="303" ht="14.25" customHeight="1">
      <c r="A303" s="17" t="str">
        <f t="shared" si="2"/>
        <v/>
      </c>
      <c r="B303" s="13"/>
      <c r="C303" s="13"/>
      <c r="D303" s="13"/>
      <c r="E303" s="13"/>
      <c r="F303" s="13"/>
      <c r="G303" s="13"/>
      <c r="H303" s="13"/>
      <c r="I303" s="13"/>
      <c r="J303" s="13"/>
      <c r="K303" s="13"/>
      <c r="L303" s="13"/>
      <c r="M303" s="15"/>
      <c r="N303" s="15"/>
      <c r="O303" s="15"/>
      <c r="P303" s="15"/>
      <c r="Q303" s="15"/>
      <c r="R303" s="16" t="str">
        <f>IF(COUNT(M303:Q303)&lt;5,"",(M303*Summary!$F$5+N303*Summary!$F$6+O303*Summary!$F$7+P303*Summary!$F$8+Q303*Summary!$F$9)/Summary!$F$10)</f>
        <v/>
      </c>
      <c r="S303" s="17" t="str">
        <f t="shared" si="1"/>
        <v/>
      </c>
      <c r="T303" s="17" t="str">
        <f>IF(S303="","",IF(S303&lt;=Summary!$B$5,"Featured candidate",""))</f>
        <v/>
      </c>
    </row>
    <row r="304" ht="14.25" customHeight="1">
      <c r="A304" s="17" t="str">
        <f t="shared" si="2"/>
        <v/>
      </c>
      <c r="B304" s="13"/>
      <c r="C304" s="13"/>
      <c r="D304" s="13"/>
      <c r="E304" s="13"/>
      <c r="F304" s="13"/>
      <c r="G304" s="13"/>
      <c r="H304" s="13"/>
      <c r="I304" s="13"/>
      <c r="J304" s="13"/>
      <c r="K304" s="13"/>
      <c r="L304" s="13"/>
      <c r="M304" s="15"/>
      <c r="N304" s="15"/>
      <c r="O304" s="15"/>
      <c r="P304" s="15"/>
      <c r="Q304" s="15"/>
      <c r="R304" s="16" t="str">
        <f>IF(COUNT(M304:Q304)&lt;5,"",(M304*Summary!$F$5+N304*Summary!$F$6+O304*Summary!$F$7+P304*Summary!$F$8+Q304*Summary!$F$9)/Summary!$F$10)</f>
        <v/>
      </c>
      <c r="S304" s="17" t="str">
        <f t="shared" si="1"/>
        <v/>
      </c>
      <c r="T304" s="17" t="str">
        <f>IF(S304="","",IF(S304&lt;=Summary!$B$5,"Featured candidate",""))</f>
        <v/>
      </c>
    </row>
    <row r="305" ht="14.25" customHeight="1">
      <c r="A305" s="17" t="str">
        <f t="shared" si="2"/>
        <v/>
      </c>
      <c r="B305" s="13"/>
      <c r="C305" s="13"/>
      <c r="D305" s="13"/>
      <c r="E305" s="13"/>
      <c r="F305" s="13"/>
      <c r="G305" s="13"/>
      <c r="H305" s="13"/>
      <c r="I305" s="13"/>
      <c r="J305" s="13"/>
      <c r="K305" s="13"/>
      <c r="L305" s="13"/>
      <c r="M305" s="15"/>
      <c r="N305" s="15"/>
      <c r="O305" s="15"/>
      <c r="P305" s="15"/>
      <c r="Q305" s="15"/>
      <c r="R305" s="16" t="str">
        <f>IF(COUNT(M305:Q305)&lt;5,"",(M305*Summary!$F$5+N305*Summary!$F$6+O305*Summary!$F$7+P305*Summary!$F$8+Q305*Summary!$F$9)/Summary!$F$10)</f>
        <v/>
      </c>
      <c r="S305" s="17" t="str">
        <f t="shared" si="1"/>
        <v/>
      </c>
      <c r="T305" s="17" t="str">
        <f>IF(S305="","",IF(S305&lt;=Summary!$B$5,"Featured candidate",""))</f>
        <v/>
      </c>
    </row>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T$305"/>
  <dataValidations>
    <dataValidation type="decimal" allowBlank="1" showInputMessage="1" showErrorMessage="1" prompt="Score - Enter a whole number from 1 to 5." sqref="M5:Q305">
      <formula1>1.0</formula1>
      <formula2>5.0</formula2>
    </dataValidation>
    <dataValidation type="list" allowBlank="1" sqref="D5:D305">
      <formula1>"Laptop,Colab,Pendrive,GitHub,LinkedIn,Kaggle,Mobile,Other"</formula1>
    </dataValidation>
    <dataValidation type="list" allowBlank="1" sqref="E5:E305">
      <formula1>"AI,ML,DL,Computer Vision,NLP,Gen AI,Agentic AI,Web Development,Other,Data Analytics"</formula1>
    </dataValidation>
    <dataValidation type="list" allowBlank="1" sqref="G5:G305">
      <formula1>"Featured,Standard,Archive"</formula1>
    </dataValidation>
    <dataValidation type="list" allowBlank="1" sqref="F5:F305">
      <formula1>"Done,In progress,Idea"</formula1>
    </dataValidation>
    <dataValidation type="list" allowBlank="1" sqref="I5:K14 J15:K15 I16:K305">
      <formula1>"Yes,No"</formula1>
    </dataValidation>
  </dataValidations>
  <hyperlinks>
    <hyperlink r:id="rId1" ref="H5"/>
    <hyperlink r:id="rId2" ref="H6"/>
    <hyperlink r:id="rId3" ref="H7"/>
    <hyperlink r:id="rId4" ref="H8"/>
    <hyperlink r:id="rId5" ref="H9"/>
    <hyperlink r:id="rId6" ref="H10"/>
    <hyperlink r:id="rId7" ref="H11"/>
    <hyperlink r:id="rId8" ref="H12"/>
    <hyperlink r:id="rId9" ref="H13"/>
    <hyperlink r:id="rId10" ref="H14"/>
    <hyperlink r:id="rId11" ref="H15"/>
    <hyperlink r:id="rId12" ref="H16"/>
    <hyperlink r:id="rId13" ref="H17"/>
    <hyperlink r:id="rId14" ref="H19"/>
    <hyperlink r:id="rId15" ref="H20"/>
    <hyperlink r:id="rId16" ref="H21"/>
    <hyperlink r:id="rId17" ref="H22"/>
    <hyperlink r:id="rId18" ref="H23"/>
    <hyperlink r:id="rId19" ref="H24"/>
    <hyperlink r:id="rId20" ref="H25"/>
    <hyperlink r:id="rId21" ref="H26"/>
    <hyperlink r:id="rId22" ref="H27"/>
    <hyperlink r:id="rId23" ref="H28"/>
    <hyperlink r:id="rId24" ref="H29"/>
    <hyperlink r:id="rId25" ref="H30"/>
    <hyperlink r:id="rId26" ref="H31"/>
    <hyperlink r:id="rId27" ref="H32"/>
    <hyperlink r:id="rId28" ref="H33"/>
    <hyperlink r:id="rId29" ref="H34"/>
    <hyperlink r:id="rId30" ref="H35"/>
    <hyperlink r:id="rId31" ref="H36"/>
    <hyperlink r:id="rId32" ref="H37"/>
    <hyperlink r:id="rId33" ref="H38"/>
  </hyperlinks>
  <printOptions/>
  <pageMargins bottom="1.0" footer="0.0" header="0.0" left="0.75" right="0.75" top="1.0"/>
  <pageSetup paperSize="9" orientation="portrait"/>
  <drawing r:id="rId3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2.0"/>
    <col customWidth="1" min="3" max="3" width="50.0"/>
    <col customWidth="1" min="4" max="4" width="8.71"/>
    <col customWidth="1" min="5" max="5" width="26.0"/>
    <col customWidth="1" min="6" max="6" width="10.0"/>
    <col customWidth="1" min="7" max="26" width="8.71"/>
  </cols>
  <sheetData>
    <row r="1" ht="14.25" customHeight="1">
      <c r="A1" s="4" t="s">
        <v>225</v>
      </c>
    </row>
    <row r="2" ht="14.25" customHeight="1">
      <c r="A2" s="5" t="s">
        <v>226</v>
      </c>
    </row>
    <row r="3" ht="14.25" customHeight="1"/>
    <row r="4" ht="14.25" customHeight="1">
      <c r="A4" s="3" t="s">
        <v>227</v>
      </c>
      <c r="B4" s="3">
        <f>COUNTA(Projects!$B$6:$B$305)</f>
        <v>33</v>
      </c>
      <c r="E4" s="23" t="s">
        <v>228</v>
      </c>
      <c r="F4" s="23" t="s">
        <v>229</v>
      </c>
    </row>
    <row r="5" ht="14.25" customHeight="1">
      <c r="A5" s="24" t="s">
        <v>230</v>
      </c>
      <c r="B5" s="25">
        <v>10.0</v>
      </c>
      <c r="C5" s="26" t="s">
        <v>231</v>
      </c>
      <c r="E5" s="24" t="s">
        <v>232</v>
      </c>
      <c r="F5" s="25">
        <v>25.0</v>
      </c>
    </row>
    <row r="6" ht="14.25" customHeight="1">
      <c r="A6" s="24" t="s">
        <v>233</v>
      </c>
      <c r="B6" s="24">
        <f>MAX(0,B5-COUNTIF(Projects!$G$6:$G$305,"Featured"))</f>
        <v>6</v>
      </c>
      <c r="E6" s="24" t="s">
        <v>234</v>
      </c>
      <c r="F6" s="25">
        <v>25.0</v>
      </c>
    </row>
    <row r="7" ht="14.25" customHeight="1">
      <c r="E7" s="24" t="s">
        <v>235</v>
      </c>
      <c r="F7" s="25">
        <v>20.0</v>
      </c>
    </row>
    <row r="8" ht="14.25" customHeight="1">
      <c r="A8" s="23" t="s">
        <v>236</v>
      </c>
      <c r="B8" s="23" t="s">
        <v>237</v>
      </c>
      <c r="E8" s="24" t="s">
        <v>238</v>
      </c>
      <c r="F8" s="25">
        <v>15.0</v>
      </c>
    </row>
    <row r="9" ht="14.25" customHeight="1">
      <c r="A9" s="24" t="s">
        <v>143</v>
      </c>
      <c r="B9" s="24">
        <f>COUNTIF(Projects!$E$6:$E$305,A9)</f>
        <v>1</v>
      </c>
      <c r="E9" s="24" t="s">
        <v>239</v>
      </c>
      <c r="F9" s="25">
        <v>15.0</v>
      </c>
    </row>
    <row r="10" ht="14.25" customHeight="1">
      <c r="A10" s="24" t="s">
        <v>126</v>
      </c>
      <c r="B10" s="24">
        <f>COUNTIF(Projects!$E$6:$E$305,A10)</f>
        <v>7</v>
      </c>
      <c r="E10" s="3" t="s">
        <v>240</v>
      </c>
      <c r="F10" s="3">
        <f>SUM(F5:F9)</f>
        <v>100</v>
      </c>
    </row>
    <row r="11" ht="14.25" customHeight="1">
      <c r="A11" s="24" t="s">
        <v>82</v>
      </c>
      <c r="B11" s="24">
        <f>COUNTIF(Projects!$E$6:$E$305,A11)</f>
        <v>3</v>
      </c>
      <c r="E11" s="26" t="s">
        <v>241</v>
      </c>
    </row>
    <row r="12" ht="14.25" customHeight="1">
      <c r="A12" s="24" t="s">
        <v>77</v>
      </c>
      <c r="B12" s="24">
        <f>COUNTIF(Projects!$E$6:$E$305,A12)</f>
        <v>2</v>
      </c>
    </row>
    <row r="13" ht="14.25" customHeight="1">
      <c r="A13" s="24" t="s">
        <v>242</v>
      </c>
      <c r="B13" s="24">
        <f>COUNTIF(Projects!$E$6:$E$305,A13)</f>
        <v>0</v>
      </c>
    </row>
    <row r="14" ht="14.25" customHeight="1">
      <c r="A14" s="24" t="s">
        <v>63</v>
      </c>
      <c r="B14" s="24">
        <f>COUNTIF(Projects!$E$6:$E$305,A14)</f>
        <v>13</v>
      </c>
    </row>
    <row r="15" ht="14.25" customHeight="1">
      <c r="A15" s="24" t="s">
        <v>44</v>
      </c>
      <c r="B15" s="24">
        <f>COUNTIF(Projects!$E$6:$E$305,A15)</f>
        <v>4</v>
      </c>
    </row>
    <row r="16" ht="14.25" customHeight="1">
      <c r="A16" s="24" t="s">
        <v>243</v>
      </c>
      <c r="B16" s="24">
        <f>COUNTIF(Projects!$E$6:$E$305,A16)</f>
        <v>0</v>
      </c>
    </row>
    <row r="17" ht="14.25" customHeight="1">
      <c r="A17" s="24" t="s">
        <v>244</v>
      </c>
      <c r="B17" s="24">
        <f>COUNTIF(Projects!$E$6:$E$305,A17)</f>
        <v>0</v>
      </c>
    </row>
    <row r="18" ht="14.25" customHeight="1">
      <c r="A18" s="3" t="s">
        <v>245</v>
      </c>
      <c r="B18" s="3">
        <f>SUM(B9:B17)</f>
        <v>30</v>
      </c>
    </row>
    <row r="19" ht="14.25" customHeight="1"/>
    <row r="20" ht="14.25" customHeight="1">
      <c r="A20" s="23" t="s">
        <v>246</v>
      </c>
      <c r="B20" s="23" t="s">
        <v>237</v>
      </c>
    </row>
    <row r="21" ht="14.25" customHeight="1">
      <c r="A21" s="24" t="s">
        <v>247</v>
      </c>
      <c r="B21" s="24">
        <f>COUNTIF(Projects!$D$6:$D$305,A21)</f>
        <v>0</v>
      </c>
    </row>
    <row r="22" ht="14.25" customHeight="1">
      <c r="A22" s="24" t="s">
        <v>248</v>
      </c>
      <c r="B22" s="24">
        <f>COUNTIF(Projects!$D$6:$D$305,A22)</f>
        <v>0</v>
      </c>
    </row>
    <row r="23" ht="14.25" customHeight="1">
      <c r="A23" s="24" t="s">
        <v>249</v>
      </c>
      <c r="B23" s="24">
        <f>COUNTIF(Projects!$D$6:$D$305,A23)</f>
        <v>0</v>
      </c>
    </row>
    <row r="24" ht="14.25" customHeight="1">
      <c r="A24" s="24" t="s">
        <v>43</v>
      </c>
      <c r="B24" s="24">
        <f>COUNTIF(Projects!$D$6:$D$305,A24)</f>
        <v>35</v>
      </c>
    </row>
    <row r="25" ht="14.25" customHeight="1">
      <c r="A25" s="24" t="s">
        <v>250</v>
      </c>
      <c r="B25" s="24">
        <f>COUNTIF(Projects!$D$6:$D$305,A25)</f>
        <v>0</v>
      </c>
    </row>
    <row r="26" ht="14.25" customHeight="1">
      <c r="A26" s="24" t="s">
        <v>251</v>
      </c>
      <c r="B26" s="24">
        <f>COUNTIF(Projects!$D$6:$D$305,A26)</f>
        <v>0</v>
      </c>
    </row>
    <row r="27" ht="14.25" customHeight="1">
      <c r="A27" s="24" t="s">
        <v>252</v>
      </c>
      <c r="B27" s="24">
        <f>COUNTIF(Projects!$D$6:$D$305,A27)</f>
        <v>0</v>
      </c>
    </row>
    <row r="28" ht="14.25" customHeight="1">
      <c r="A28" s="24" t="s">
        <v>244</v>
      </c>
      <c r="B28" s="24">
        <f>COUNTIF(Projects!$D$6:$D$305,A28)</f>
        <v>0</v>
      </c>
    </row>
    <row r="29" ht="14.25" customHeight="1">
      <c r="A29" s="3" t="s">
        <v>245</v>
      </c>
      <c r="B29" s="3">
        <f>SUM(B21:B28)</f>
        <v>35</v>
      </c>
    </row>
    <row r="30" ht="14.25" customHeight="1"/>
    <row r="31" ht="14.25" customHeight="1">
      <c r="A31" s="23" t="s">
        <v>253</v>
      </c>
      <c r="B31" s="23" t="s">
        <v>237</v>
      </c>
    </row>
    <row r="32" ht="14.25" customHeight="1">
      <c r="A32" s="24" t="s">
        <v>46</v>
      </c>
      <c r="B32" s="24">
        <f>COUNTIF(Projects!$G$6:$G$305,A32)</f>
        <v>4</v>
      </c>
    </row>
    <row r="33" ht="14.25" customHeight="1">
      <c r="A33" s="24" t="s">
        <v>58</v>
      </c>
      <c r="B33" s="24">
        <f>COUNTIF(Projects!$G$6:$G$305,A33)</f>
        <v>16</v>
      </c>
    </row>
    <row r="34" ht="14.25" customHeight="1">
      <c r="A34" s="24" t="s">
        <v>53</v>
      </c>
      <c r="B34" s="24">
        <f>COUNTIF(Projects!$G$6:$G$305,A34)</f>
        <v>13</v>
      </c>
    </row>
    <row r="35" ht="14.25" customHeight="1">
      <c r="A35" s="3" t="s">
        <v>245</v>
      </c>
      <c r="B35" s="3">
        <f>SUM(B32:B34)</f>
        <v>33</v>
      </c>
    </row>
    <row r="36" ht="14.25" customHeight="1"/>
    <row r="37" ht="14.25" customHeight="1">
      <c r="A37" s="23" t="s">
        <v>254</v>
      </c>
      <c r="B37" s="23" t="s">
        <v>237</v>
      </c>
    </row>
    <row r="38" ht="14.25" customHeight="1">
      <c r="A38" s="24" t="s">
        <v>45</v>
      </c>
      <c r="B38" s="24">
        <f>COUNTIF(Projects!$F$6:$F$305,A38)</f>
        <v>36</v>
      </c>
    </row>
    <row r="39" ht="14.25" customHeight="1">
      <c r="A39" s="24" t="s">
        <v>255</v>
      </c>
      <c r="B39" s="24">
        <f>COUNTIF(Projects!$F$6:$F$305,A39)</f>
        <v>0</v>
      </c>
    </row>
    <row r="40" ht="14.25" customHeight="1">
      <c r="A40" s="24" t="s">
        <v>256</v>
      </c>
      <c r="B40" s="24">
        <f>COUNTIF(Projects!$F$6:$F$305,A40)</f>
        <v>0</v>
      </c>
    </row>
    <row r="41" ht="14.25" customHeight="1">
      <c r="A41" s="3" t="s">
        <v>245</v>
      </c>
      <c r="B41" s="3">
        <f>SUM(B38:B40)</f>
        <v>36</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